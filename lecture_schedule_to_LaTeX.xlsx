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ettings" sheetId="2" state="visible" r:id="rId4"/>
    <sheet name="Dates" sheetId="3" state="visible" r:id="rId5"/>
    <sheet name="Calculations" sheetId="4" state="visible" r:id="rId6"/>
    <sheet name="Tests" sheetId="5" state="visible" r:id="rId7"/>
    <sheet name="Export" sheetId="6" state="visible" r:id="rId8"/>
  </sheets>
  <calcPr iterateCount="100" refMode="R1C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<sst xmlns="http://schemas.openxmlformats.org/spreadsheetml/2006/main" count="159" uniqueCount="119">
  <si>
    <t xml:space="preserve">first day of class:</t>
  </si>
  <si>
    <t xml:space="preserve">Chapt.</t>
  </si>
  <si>
    <t xml:space="preserve">Title</t>
  </si>
  <si>
    <t xml:space="preserve">Week</t>
  </si>
  <si>
    <t xml:space="preserve">&amp;</t>
  </si>
  <si>
    <t xml:space="preserve">Month</t>
  </si>
  <si>
    <t xml:space="preserve">Date</t>
  </si>
  <si>
    <t xml:space="preserve">Day</t>
  </si>
  <si>
    <t xml:space="preserve">Chapter</t>
  </si>
  <si>
    <t xml:space="preserve">Topic</t>
  </si>
  <si>
    <t xml:space="preserve">\\</t>
  </si>
  <si>
    <t xml:space="preserve">Temperature and Heat</t>
  </si>
  <si>
    <t xml:space="preserve">The Thermal Behavior of Matter</t>
  </si>
  <si>
    <t xml:space="preserve">class meet days:</t>
  </si>
  <si>
    <t xml:space="preserve">Mo</t>
  </si>
  <si>
    <t xml:space="preserve">x</t>
  </si>
  <si>
    <t xml:space="preserve">Heat, Work, and the First Law of Thermodynamics</t>
  </si>
  <si>
    <t xml:space="preserve">Tu</t>
  </si>
  <si>
    <t xml:space="preserve">We</t>
  </si>
  <si>
    <t xml:space="preserve">Spring Vacation</t>
  </si>
  <si>
    <t xml:space="preserve">Th</t>
  </si>
  <si>
    <t xml:space="preserve">The Second Law of Thermodynamics  </t>
  </si>
  <si>
    <t xml:space="preserve">Fr</t>
  </si>
  <si>
    <t xml:space="preserve">No class</t>
  </si>
  <si>
    <t xml:space="preserve">President's Day</t>
  </si>
  <si>
    <t xml:space="preserve">Resulting</t>
  </si>
  <si>
    <t xml:space="preserve">Electric Charge, Force, and Field</t>
  </si>
  <si>
    <r>
      <rPr>
        <sz val="10"/>
        <color rgb="FF000000"/>
        <rFont val="Arial"/>
        <family val="0"/>
        <charset val="1"/>
      </rPr>
      <t xml:space="preserve">LaTeX</t>
    </r>
    <r>
      <rPr>
        <b val="true"/>
        <sz val="10"/>
        <color rgb="FF000000"/>
        <rFont val="Arial"/>
        <family val="0"/>
        <charset val="1"/>
      </rPr>
      <t xml:space="preserve">        </t>
    </r>
    <r>
      <rPr>
        <b val="true"/>
        <sz val="14"/>
        <color rgb="FF000000"/>
        <rFont val="Arial"/>
        <family val="0"/>
        <charset val="1"/>
      </rPr>
      <t xml:space="preserve">→</t>
    </r>
  </si>
  <si>
    <t xml:space="preserve">code</t>
  </si>
  <si>
    <t xml:space="preserve">Gauss’s Law</t>
  </si>
  <si>
    <t xml:space="preserve">number of</t>
  </si>
  <si>
    <t xml:space="preserve">\textbf{Midterm 1}</t>
  </si>
  <si>
    <r>
      <rPr>
        <sz val="10"/>
        <rFont val="Arial"/>
        <family val="0"/>
        <charset val="1"/>
      </rPr>
      <t xml:space="preserve">actual        </t>
    </r>
    <r>
      <rPr>
        <sz val="14"/>
        <rFont val="Arial"/>
        <family val="0"/>
        <charset val="1"/>
      </rPr>
      <t xml:space="preserve">→</t>
    </r>
  </si>
  <si>
    <t xml:space="preserve">lecture days</t>
  </si>
  <si>
    <t xml:space="preserve">Electric Potential  </t>
  </si>
  <si>
    <t xml:space="preserve">Area that can be used for other</t>
  </si>
  <si>
    <t xml:space="preserve">Electrostatic Energy and Capacitors </t>
  </si>
  <si>
    <t xml:space="preserve">miscellaneous calculations:</t>
  </si>
  <si>
    <t xml:space="preserve">⇓</t>
  </si>
  <si>
    <t xml:space="preserve">Electric Current </t>
  </si>
  <si>
    <t xml:space="preserve">Electric Circuits </t>
  </si>
  <si>
    <t xml:space="preserve">Magnetism: Force and Field</t>
  </si>
  <si>
    <t xml:space="preserve">Electromagnetic Induction</t>
  </si>
  <si>
    <t xml:space="preserve">\textbf{Midterm 2}</t>
  </si>
  <si>
    <t xml:space="preserve">Alternating-Current Circuits</t>
  </si>
  <si>
    <t xml:space="preserve">Patriot’s Day</t>
  </si>
  <si>
    <t xml:space="preserve">Maxwell’s Equations and Electromagnetic Waves</t>
  </si>
  <si>
    <t xml:space="preserve">Reflection and Refraction</t>
  </si>
  <si>
    <t xml:space="preserve">Images and Optical Instruments</t>
  </si>
  <si>
    <t xml:space="preserve"> Interference and Diffraction</t>
  </si>
  <si>
    <t xml:space="preserve">LaTeX output settings</t>
  </si>
  <si>
    <t xml:space="preserve">Value</t>
  </si>
  <si>
    <t xml:space="preserve">Workbook organization</t>
  </si>
  <si>
    <t xml:space="preserve">First meeting of week strut</t>
  </si>
  <si>
    <t xml:space="preserve">\rule{0pt}{11pt}</t>
  </si>
  <si>
    <t xml:space="preserve">Schedule: edit the plan in B1, B6:B10, and I:J; copy the final LaTeX table from B13.</t>
  </si>
  <si>
    <t xml:space="preserve">Row terminator</t>
  </si>
  <si>
    <t xml:space="preserve">Dates: support sheet that generates possible meeting dates; no user editing is required.</t>
  </si>
  <si>
    <t xml:space="preserve">Week terminator</t>
  </si>
  <si>
    <t xml:space="preserve">\hline</t>
  </si>
  <si>
    <t xml:space="preserve">Calculations: support sheet that constructs the active meeting rows and LaTeX fragments; no user editing is required.</t>
  </si>
  <si>
    <t xml:space="preserve">Column separator</t>
  </si>
  <si>
    <t xml:space="preserve">Tests: support sheet containing regression checks; no user editing is required.</t>
  </si>
  <si>
    <t xml:space="preserve">Invisible leading zero for one-digit chapters</t>
  </si>
  <si>
    <t xml:space="preserve">{\color{white}0}</t>
  </si>
  <si>
    <t xml:space="preserve">Export: support sheet containing one assembled LaTeX row per meeting; no user editing is required.</t>
  </si>
  <si>
    <t xml:space="preserve">Change fixed LaTeX fragments and the table-environment setting only in column B of this sheet.</t>
  </si>
  <si>
    <t xml:space="preserve">Planning summary</t>
  </si>
  <si>
    <t xml:space="preserve">Class meet days: mark any weekday in Schedule!B6:B10. Dates generates possible meeting dates within the 52-week window; Calculations keeps only rows through the final planned entry in Schedule columns I:J.</t>
  </si>
  <si>
    <t xml:space="preserve">Scheduled meeting rows</t>
  </si>
  <si>
    <t xml:space="preserve">Numbered lecture meetings</t>
  </si>
  <si>
    <t xml:space="preserve">No-class meetings</t>
  </si>
  <si>
    <t xml:space="preserve">Exam meetings</t>
  </si>
  <si>
    <t xml:space="preserve">Last planned meeting row</t>
  </si>
  <si>
    <t xml:space="preserve">The final active meeting is the last nonblank row in Schedule column I or J.</t>
  </si>
  <si>
    <t xml:space="preserve">LaTeX table environment</t>
  </si>
  <si>
    <t xml:space="preserve">longtable</t>
  </si>
  <si>
    <t xml:space="preserve">Choose "tabular" for the existing output or "longtable" to prevent page breaks inside a week.</t>
  </si>
  <si>
    <t xml:space="preserve">Nonbreaking row terminator</t>
  </si>
  <si>
    <t xml:space="preserve">\\*</t>
  </si>
  <si>
    <t xml:space="preserve">Used only in longtable mode on rows that are not the final row of a week.</t>
  </si>
  <si>
    <t xml:space="preserve">Week 1 Monday</t>
  </si>
  <si>
    <t xml:space="preserve">Days to next meeting</t>
  </si>
  <si>
    <t xml:space="preserve">Week 52 Sunday</t>
  </si>
  <si>
    <t xml:space="preserve">Class-day mask</t>
  </si>
  <si>
    <t xml:space="preserve">Active row</t>
  </si>
  <si>
    <t xml:space="preserve">Week label</t>
  </si>
  <si>
    <t xml:space="preserve">First in week</t>
  </si>
  <si>
    <t xml:space="preserve">Last in week</t>
  </si>
  <si>
    <t xml:space="preserve">Rows in week</t>
  </si>
  <si>
    <t xml:space="preserve">First in month run</t>
  </si>
  <si>
    <t xml:space="preserve">Rows in month run</t>
  </si>
  <si>
    <t xml:space="preserve">Week LaTeX</t>
  </si>
  <si>
    <t xml:space="preserve">Month LaTeX</t>
  </si>
  <si>
    <t xml:space="preserve">Date LaTeX</t>
  </si>
  <si>
    <t xml:space="preserve">Day LaTeX</t>
  </si>
  <si>
    <t xml:space="preserve">Chapter LaTeX</t>
  </si>
  <si>
    <t xml:space="preserve">Topic LaTeX</t>
  </si>
  <si>
    <t xml:space="preserve">Row end</t>
  </si>
  <si>
    <t xml:space="preserve">Week end</t>
  </si>
  <si>
    <t xml:space="preserve">Case</t>
  </si>
  <si>
    <t xml:space="preserve">Actual</t>
  </si>
  <si>
    <t xml:space="preserve">Expected</t>
  </si>
  <si>
    <t xml:space="preserve">Pass?</t>
  </si>
  <si>
    <t xml:space="preserve">First-week week span</t>
  </si>
  <si>
    <t xml:space="preserve">First-week month span</t>
  </si>
  <si>
    <t xml:space="preserve">Final-week week span</t>
  </si>
  <si>
    <t xml:space="preserve">Final-week month span</t>
  </si>
  <si>
    <t xml:space="preserve">Final active row has week rule</t>
  </si>
  <si>
    <t xml:space="preserve">Row after final plan is inactive</t>
  </si>
  <si>
    <t xml:space="preserve">First meeting carries strut</t>
  </si>
  <si>
    <t xml:space="preserve">Scheduled meeting count</t>
  </si>
  <si>
    <t xml:space="preserve">Export after final plan is blank</t>
  </si>
  <si>
    <t xml:space="preserve">Nonfinal row terminator</t>
  </si>
  <si>
    <t xml:space="preserve">Final row terminator</t>
  </si>
  <si>
    <t xml:space="preserve">Regression-test summary</t>
  </si>
  <si>
    <t xml:space="preserve">LaTeX row assembly (support sheet)</t>
  </si>
  <si>
    <t xml:space="preserve">Generated text</t>
  </si>
  <si>
    <t xml:space="preserve">Each row below joins the Schedule output with tab characters. The complete copyable LaTeX table is generated in Schedule!B13.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</si>
</sst>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_(* #,##0.00_);_(* \(#,##0.00\);_(* \-??_);_(@_)"/>
    <numFmt numFmtId="167" formatCode="_(* #,##0_);_(* \(#,##0\);_(* \-_);_(@_)"/>
    <numFmt numFmtId="168" formatCode="_(* #,##0_);_(* \(#,##0\);_(* \-_);_(@_)"/>
    <numFmt numFmtId="169" formatCode="_(\$* #,##0.00_);_(\$* \(#,##0.00\);_(\$* \-??_);_(@_)"/>
    <numFmt numFmtId="170" formatCode="_(\$* #,##0.00_);_(\$* \(#,##0.00\);_(\$* \-??_);_(@_)"/>
    <numFmt numFmtId="171" formatCode="_(\$* #,##0_);_(\$* \(#,##0\);_(\$* \-_);_(@_)"/>
    <numFmt numFmtId="172" formatCode="_(\$* #,##0_);_(\$* \(#,##0\);_(\$* \-_);_(@_)"/>
    <numFmt numFmtId="173" formatCode="&quot;TRUE&quot;;&quot;TRUE&quot;;&quot;FALSE&quot;"/>
    <numFmt numFmtId="174" formatCode="0%"/>
    <numFmt numFmtId="175" formatCode="mm/dd/yy"/>
    <numFmt numFmtId="176" formatCode="0"/>
    <numFmt numFmtId="177" formatCode="m/d/yyyy"/>
    <numFmt numFmtId="178" formatCode="@"/>
  </numFmts>
  <fonts count="3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FFF2CC"/>
      <name val="Arial"/>
      <family val="0"/>
      <charset val="1"/>
    </font>
    <font>
      <sz val="14"/>
      <name val="Arial"/>
      <family val="0"/>
      <charset val="1"/>
    </font>
    <font>
      <sz val="16"/>
      <name val="Arial"/>
      <family val="0"/>
      <charset val="1"/>
    </font>
    <font>
      <sz val="20"/>
      <color rgb="FF000000"/>
      <name val="Arial"/>
      <family val="2"/>
      <charset val="1"/>
    </font>
    <font>
      <sz val="13"/>
      <name val="Times New Roman"/>
      <family val="1"/>
    </font>
    <font>
      <sz val="13"/>
      <color rgb="FF000000"/>
      <name val="Times New Roman"/>
      <family val="1"/>
      <charset val="1"/>
    </font>
    <font>
      <sz val="13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32"/>
      <color rgb="FFDEF2D5"/>
      <name val="Times New Roman"/>
      <family val="1"/>
      <charset val="1"/>
    </font>
    <font>
      <sz val="12"/>
      <color rgb="FFDEF2D5"/>
      <name val="Times New Roman"/>
      <family val="1"/>
      <charset val="1"/>
    </font>
    <font>
      <b val="true"/>
      <sz val="13"/>
      <color rgb="FF000000"/>
      <name val="Times New Roman"/>
      <family val="1"/>
      <charset val="1"/>
    </font>
    <font>
      <sz val="14"/>
      <color rgb="FF000000"/>
      <name val="Linux Biolinum"/>
      <family val="0"/>
      <charset val="1"/>
    </font>
    <font>
      <sz val="16"/>
      <color rgb="FF000000"/>
      <name val="Arial"/>
      <family val="2"/>
      <charset val="1"/>
    </font>
    <font>
      <sz val="14"/>
      <color rgb="FF000000"/>
      <name val="Linux Libertine"/>
      <family val="0"/>
      <charset val="1"/>
    </font>
    <font>
      <b val="true"/>
      <sz val="14"/>
      <color rgb="FF000000"/>
      <name val="Linux Libertine"/>
      <family val="0"/>
      <charset val="1"/>
    </font>
    <font>
      <i val="true"/>
      <sz val="15"/>
      <color rgb="FF000000"/>
      <name val="Linux Libertine"/>
      <family val="0"/>
      <charset val="1"/>
    </font>
    <font>
      <sz val="13"/>
      <color rgb="FF000000"/>
      <name val="Linux Libertine"/>
      <family val="0"/>
      <charset val="1"/>
    </font>
    <font>
      <sz val="12"/>
      <color rgb="FF000000"/>
      <name val="Calibri"/>
      <family val="0"/>
    </font>
    <font>
      <b val="true"/>
      <sz val="13"/>
      <color rgb="FF000000"/>
      <name val="Linux Libertine"/>
      <family val="0"/>
      <charset val="1"/>
    </font>
    <font>
      <sz val="12"/>
      <color rgb="FF000000"/>
      <name val="Courier New"/>
      <family val="3"/>
      <charset val="1"/>
    </font>
    <font>
      <sz val="13"/>
      <color rgb="FF000000"/>
      <name val="Calibri"/>
      <family val="0"/>
    </font>
    <font>
      <sz val="13"/>
      <color rgb="FF000000"/>
      <name val="Courier New"/>
      <family val="3"/>
      <charset val="1"/>
    </font>
    <font>
      <sz val="12"/>
      <name val="Times New Roman"/>
      <family val="1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3FFA15"/>
        <bgColor rgb="FF95FA46"/>
      </patternFill>
    </fill>
    <fill>
      <patternFill patternType="solid">
        <fgColor rgb="FFFFDBB6"/>
        <bgColor rgb="FFF4CCCC"/>
      </patternFill>
    </fill>
    <fill>
      <patternFill patternType="solid">
        <fgColor rgb="FFDEF2D5"/>
        <bgColor rgb="FFDEE6EF"/>
      </patternFill>
    </fill>
    <fill>
      <patternFill patternType="solid">
        <fgColor rgb="FFDEE6EF"/>
        <bgColor rgb="FFD9EAF7"/>
      </patternFill>
    </fill>
    <fill>
      <patternFill patternType="solid">
        <fgColor rgb="FFFFF2CC"/>
        <bgColor rgb="FFFFF7E6"/>
      </patternFill>
    </fill>
    <fill>
      <patternFill patternType="solid">
        <fgColor rgb="FFA1467E"/>
        <bgColor rgb="FFA1467D"/>
      </patternFill>
    </fill>
    <fill>
      <patternFill patternType="solid">
        <fgColor rgb="FFA1467D"/>
        <bgColor rgb="FFA1467E"/>
      </patternFill>
    </fill>
    <fill>
      <patternFill patternType="solid">
        <fgColor rgb="FFF9F5F9"/>
        <bgColor rgb="FFF3F6F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DEE6EF"/>
      </patternFill>
    </fill>
    <fill>
      <patternFill patternType="solid">
        <fgColor rgb="FFF2F2F2"/>
        <bgColor rgb="FFF3F6F9"/>
      </patternFill>
    </fill>
    <fill>
      <patternFill patternType="solid">
        <fgColor rgb="FFF3F6F9"/>
        <bgColor rgb="FFF9F5F9"/>
      </patternFill>
    </fill>
    <fill>
      <patternFill patternType="solid">
        <fgColor rgb="FFFFF7E6"/>
        <bgColor rgb="FFF9F5F9"/>
      </patternFill>
    </fill>
    <fill>
      <patternFill patternType="solid">
        <fgColor rgb="FF95FA46"/>
        <bgColor rgb="FF3FFA1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</borders>
  <cellStyleXfs count="6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false" applyProtection="false"/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1" fontId="4" fillId="0" borderId="0" applyFont="true" applyBorder="false" applyAlignment="false" applyProtection="false"/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applyFont="true" applyBorder="false" applyAlignment="false" applyProtection="false"/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7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fals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48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5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5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51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75" fontId="4" fillId="4" borderId="0" xfId="51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48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0" xfId="5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5" borderId="0" xfId="5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51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5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4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4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48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5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4" fillId="6" borderId="0" xfId="4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4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4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5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8" borderId="0" xfId="4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4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48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5" fontId="4" fillId="9" borderId="0" xfId="51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6" fontId="4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5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5" fontId="5" fillId="0" borderId="0" xfId="5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5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5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0" borderId="0" xfId="5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5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11" borderId="0" xfId="5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5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4" fillId="4" borderId="0" xfId="49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12" borderId="1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4" fillId="12" borderId="2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6" fillId="12" borderId="3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4" fillId="12" borderId="4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5" fillId="0" borderId="0" xfId="5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6" fillId="12" borderId="5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4" fillId="12" borderId="6" xfId="5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5" fillId="0" borderId="0" xfId="5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5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5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4" borderId="0" xfId="5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4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5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5" borderId="0" xfId="5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11" borderId="0" xfId="5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4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62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6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10" borderId="0" xfId="5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5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52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4" xfId="24"/>
    <cellStyle name="Comma 5" xfId="25"/>
    <cellStyle name="Comma 6" xfId="26"/>
    <cellStyle name="Comma [0]" xfId="27"/>
    <cellStyle name="Comma [0] 2" xfId="28"/>
    <cellStyle name="Comma [0] 3" xfId="29"/>
    <cellStyle name="Comma [0] 4" xfId="30"/>
    <cellStyle name="Comma [0] 5" xfId="31"/>
    <cellStyle name="Comma [0] 6" xfId="32"/>
    <cellStyle name="Comma [0] 7" xfId="33"/>
    <cellStyle name="Currency" xfId="34"/>
    <cellStyle name="Currency 3" xfId="35"/>
    <cellStyle name="Currency 4" xfId="36"/>
    <cellStyle name="Currency 5" xfId="37"/>
    <cellStyle name="Currency 6" xfId="38"/>
    <cellStyle name="Currency 7" xfId="39"/>
    <cellStyle name="Currency 8" xfId="40"/>
    <cellStyle name="Currency [0]" xfId="41"/>
    <cellStyle name="Currency [0] 4" xfId="42"/>
    <cellStyle name="Currency [0] 5" xfId="43"/>
    <cellStyle name="Currency [0] 6" xfId="44"/>
    <cellStyle name="Currency [0] 7" xfId="45"/>
    <cellStyle name="Currency [0] 8" xfId="46"/>
    <cellStyle name="Currency [0] 9" xfId="47"/>
    <cellStyle name="Normal" xfId="48"/>
    <cellStyle name="Normal 10" xfId="49"/>
    <cellStyle name="Normal 5" xfId="50"/>
    <cellStyle name="Normal 6" xfId="51"/>
    <cellStyle name="Normal 7" xfId="52"/>
    <cellStyle name="Normal 8" xfId="53"/>
    <cellStyle name="Normal 9" xfId="54"/>
    <cellStyle name="Percent" xfId="55"/>
    <cellStyle name="Percent 10" xfId="56"/>
    <cellStyle name="Percent 11" xfId="57"/>
    <cellStyle name="Percent 6" xfId="58"/>
    <cellStyle name="Percent 7" xfId="59"/>
    <cellStyle name="Percent 8" xfId="60"/>
    <cellStyle name="Percent 9" xfId="61"/>
    <cellStyle name="Test_Passed" xfId="62"/>
    <cellStyle name="Text" xfId="63"/>
  </cellStyles>
  <dxfs count="2"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3FFA15"/>
        </patternFill>
      </fill>
    </dxf>
  </dxfs>
  <colors>
    <indexedColors>
      <rgbColor rgb="FF000000"/>
      <rgbColor rgb="FFFFFFFF"/>
      <rgbColor rgb="FFFF0000"/>
      <rgbColor rgb="FF3FFA15"/>
      <rgbColor rgb="FF0000FF"/>
      <rgbColor rgb="FFF9F5F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1467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DEF2D5"/>
      <rgbColor rgb="FFFFF7E6"/>
      <rgbColor rgb="FFF2F2F2"/>
      <rgbColor rgb="FFF4CCCC"/>
      <rgbColor rgb="FFF3F6F9"/>
      <rgbColor rgb="FFFFDBB6"/>
      <rgbColor rgb="FF3366FF"/>
      <rgbColor rgb="FF33CCCC"/>
      <rgbColor rgb="FF95FA46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A1467E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197640</xdr:colOff>
      <xdr:row>0</xdr:row>
      <xdr:rowOff>147240</xdr:rowOff>
    </xdr:from>
    <xdr:to>
      <xdr:col>36</xdr:col>
      <xdr:colOff>79200</xdr:colOff>
      <xdr:row>89</xdr:row>
      <xdr:rowOff>97560</xdr:rowOff>
    </xdr:to>
    <xdr:sp>
      <xdr:nvSpPr>
        <xdr:cNvPr id="1" name="CustomShape 1"/>
        <xdr:cNvSpPr/>
      </xdr:nvSpPr>
      <xdr:spPr>
        <a:xfrm>
          <a:off x="13406760" y="147240"/>
          <a:ext cx="6650280" cy="15716160"/>
        </a:xfrm>
        <a:prstGeom prst="rect">
          <a:avLst/>
        </a:prstGeom>
        <a:solidFill>
          <a:srgbClr val="FFD7D7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tIns="0" rIns="0" bIns="0" anchor="t">
          <a:noAutofit/>
        </a:bodyPr>
        <a:p>
          <a:pPr>
            <a:lnSpc>
              <a:spcPct val="100000"/>
            </a:lnSpc>
          </a:pPr>
          <a:r>
            <a:rPr lang="en-US" sz="2000" b="0" u="none" strike="noStrike">
              <a:solidFill>
                <a:srgbClr val="000000"/>
              </a:solidFill>
              <a:effectLst/>
              <a:uFillTx/>
              <a:latin typeface="Arial"/>
              <a:ea typeface="Calibri"/>
            </a:rPr>
            <a:t>Instructions</a:t>
          </a:r>
          <a:endParaRPr lang="en-US" sz="2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This workbook composes a lecture schedule and automatically produces the body of a LaTeX table.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Normally, you only need to work with the ‘Schedule’ sheet. 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In rare cases ,you may want to change some settings in the ‘Settings’ sheet. 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All the other sheets (‘Dates’, ‘Calculations’, ‘Tests’, and ‘Export’) are support sheets and should not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be edited (unless you really know what you are doing). 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To prevent accidental mistakes, everything that should not be edited is protected (but without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password).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ts val="865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                                                                                                                  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          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ts val="865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On the </a:t>
          </a:r>
          <a:r>
            <a:rPr lang="en-US" sz="12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Schedule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sheet, edit only the cells whose background is of this color: </a:t>
          </a:r>
          <a:r>
            <a:rPr lang="en-US" sz="3200" b="0" u="none" strike="noStrike">
              <a:solidFill>
                <a:srgbClr val="DEF2D5"/>
              </a:solidFill>
              <a:effectLst/>
              <a:uFillTx/>
              <a:latin typeface="Times New Roman"/>
              <a:ea typeface="Calibri"/>
            </a:rPr>
            <a:t>██</a:t>
          </a:r>
          <a:endParaRPr lang="en-US" sz="3200" b="0" u="none" strike="noStrike">
            <a:effectLst/>
            <a:uFillTx/>
            <a:latin typeface="Times New Roman"/>
          </a:endParaRPr>
        </a:p>
        <a:p>
          <a:pPr>
            <a:lnSpc>
              <a:spcPts val="865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ts val="865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Namely, these cells: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1. R1C2 (B1), t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he first day of class;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2. R6C2:R10C2 (B6:B10),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the meeting-day ‘x’ marks;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  3. columns 9 and 10 (I and J),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the Chapt. and Title entries.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The complete LaTeX table body is generated automatically in cell </a:t>
          </a: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R13C2 (B13)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. Do not edit that cell;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just select and copy it when the schedule is complete, and paste the result within the appropriate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LaTeX environment in your .tex document (see below).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600" b="0" u="none" strike="noStrike">
              <a:solidFill>
                <a:srgbClr val="000000"/>
              </a:solidFill>
              <a:effectLst/>
              <a:uFillTx/>
              <a:latin typeface="Arial"/>
              <a:ea typeface="Calibri"/>
            </a:rPr>
            <a:t>Standard use</a:t>
          </a:r>
          <a:endParaRPr lang="en-US" sz="16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Begin by consulting the academic calendar and entering holidays and other no-class dates </a:t>
          </a: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in </a:t>
          </a: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columns 9 and 10 (I and J</a:t>
          </a: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). Avoid leaving stray entries below the intended final </a:t>
          </a: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meeting, because the last nonblank entry of either column determines where the </a:t>
          </a:r>
          <a:r>
            <a:rPr lang="en-US" sz="14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generated LaTeX schedule ends.</a:t>
          </a: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4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500" b="0" i="1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A scheduling note: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  It may be useful to schedule the second midterm early enough that it can be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graded before the Pass/Fail and Course Withdraw deadline.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600" b="0" u="none" strike="noStrike">
              <a:solidFill>
                <a:srgbClr val="000000"/>
              </a:solidFill>
              <a:effectLst/>
              <a:uFillTx/>
              <a:latin typeface="Arial"/>
              <a:ea typeface="Calibri"/>
            </a:rPr>
            <a:t>LaTeX output</a:t>
          </a:r>
          <a:endParaRPr lang="en-US" sz="16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The final LaTeX result is in the cell </a:t>
          </a: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R13C2 (B13)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. Just select that cell, copy its contents (ctrl-C), and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then paste it to your LaTeX document inside the appropriate table environment.</a:t>
          </a:r>
          <a:br/>
          <a:br/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Alternatively, select the appropriate region in columns </a:t>
          </a:r>
          <a:r>
            <a:rPr lang="en-US" sz="1300" b="1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13 through 25 (M through Y)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In the sheet ‘Settings’, R14C2 (B14), choose ‘tabular’ or ‘longtable’. But in fact, if there is no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particular reason to choose ‘tabular’, choose ‘longtable’. Of course, if the schedule may span more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than one page, then you should use’ longtable’. 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Linux Libertine"/>
              <a:ea typeface="Calibri"/>
            </a:rPr>
            <a:t>For ‘longtable’, the LaTeX result should be pasted between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\begin{longtable}{llllcl}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%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\scheduleheading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\endfirsthead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%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\multicolumn{6}{l}{Continued from the previous page} \\ \hline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\scheduleheading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\endhead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%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\multicolumn{6}{r}{Continued on the following page} \\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\endfoot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%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\endlastfoot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%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and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\end{longtable}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For ‘tabular’, the LaTeX result should be pasted between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\begin{tabular}{llllcl}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and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\end{tabular}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In longtable mode, nonfinal rows within a week end in ‘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\\*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‘, which prevents a page break inside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that week.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The ‘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ourier New"/>
              <a:ea typeface="Calibri"/>
            </a:rPr>
            <a:t>\rule{0pt}{11pt}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‘ following the first meeting day of each week is a strut: it adds a little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vertical space between an \hline and the text below it.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600" b="0" u="none" strike="noStrike">
              <a:solidFill>
                <a:srgbClr val="000000"/>
              </a:solidFill>
              <a:effectLst/>
              <a:uFillTx/>
              <a:latin typeface="Arial"/>
              <a:ea typeface="Calibri"/>
            </a:rPr>
            <a:t>Other output</a:t>
          </a:r>
          <a:endParaRPr lang="en-US" sz="16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The cell R17C2 (B17) counts the number of classes that are actual lecture days. To do this, we assume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that lecture days are those for which the entries in column 9 (I), ‘Chapt.’, are pure numbers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Calibri"/>
            </a:rPr>
            <a:t>(presumably chapter numbers). So entries such as ‘no class’ or ‘</a:t>
          </a: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Courier New"/>
              <a:ea typeface="Noto Sans CJK SC"/>
            </a:rPr>
            <a:t>\textbf{Midterm 2}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Noto Sans CJK SC"/>
            </a:rPr>
            <a:t>’ don’t enter </a:t>
          </a:r>
          <a:r>
            <a:rPr lang="en-US" sz="1300" b="0" u="none" strike="noStrike">
              <a:solidFill>
                <a:srgbClr val="000000"/>
              </a:solidFill>
              <a:effectLst/>
              <a:uFillTx/>
              <a:latin typeface="Times New Roman"/>
              <a:ea typeface="Noto Sans CJK SC"/>
            </a:rPr>
            <a:t>the count.</a:t>
          </a:r>
          <a:endParaRPr lang="en-US" sz="13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3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ColWidth="8.73046875" defaultRowHeight="13.8" customHeight="fals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1" width="12.38"/>
    <col collapsed="false" customWidth="true" hidden="false" outlineLevel="0" max="3" min="3" style="2" width="5.32"/>
    <col collapsed="false" customWidth="true" hidden="true" outlineLevel="0" max="4" min="4" style="2" width="3.93"/>
    <col collapsed="false" customWidth="true" hidden="true" outlineLevel="0" max="5" min="5" style="2" width="4.86"/>
    <col collapsed="false" customWidth="true" hidden="false" outlineLevel="0" max="6" min="6" style="1" width="4.24"/>
    <col collapsed="false" customWidth="true" hidden="false" outlineLevel="0" max="7" min="7" style="1" width="3.34"/>
    <col collapsed="false" customWidth="true" hidden="false" outlineLevel="0" max="8" min="8" style="1" width="4.94"/>
    <col collapsed="false" customWidth="false" hidden="false" outlineLevel="0" max="9" min="9" style="3" width="8.73"/>
    <col collapsed="false" customWidth="true" hidden="false" outlineLevel="0" max="10" min="10" style="4" width="35.54"/>
    <col collapsed="false" customWidth="false" hidden="true" outlineLevel="0" max="11" min="11" style="0" width="8.73"/>
    <col collapsed="false" customWidth="true" hidden="false" outlineLevel="0" max="12" min="12" style="0" width="5"/>
    <col collapsed="false" customWidth="true" hidden="false" outlineLevel="0" max="13" min="13" style="2" width="19.45"/>
    <col collapsed="false" customWidth="true" hidden="false" outlineLevel="0" max="14" min="14" style="2" width="3.89"/>
    <col collapsed="false" customWidth="true" hidden="false" outlineLevel="0" max="15" min="15" style="2" width="19.12"/>
    <col collapsed="false" customWidth="true" hidden="false" outlineLevel="0" max="16" min="16" style="2" width="2.12"/>
    <col collapsed="false" customWidth="true" hidden="false" outlineLevel="0" max="17" min="17" style="2" width="4.17"/>
    <col collapsed="false" customWidth="true" hidden="false" outlineLevel="0" max="18" min="18" style="2" width="3.01"/>
    <col collapsed="false" customWidth="true" hidden="false" outlineLevel="0" max="19" min="19" style="2" width="3.45"/>
    <col collapsed="false" customWidth="true" hidden="false" outlineLevel="0" max="20" min="20" style="2" width="2.45"/>
    <col collapsed="false" customWidth="true" hidden="false" outlineLevel="0" max="21" min="21" style="2" width="11.45"/>
    <col collapsed="false" customWidth="true" hidden="false" outlineLevel="0" max="22" min="22" style="2" width="2.92"/>
    <col collapsed="false" customWidth="true" hidden="false" outlineLevel="0" max="23" min="23" style="2" width="10.58"/>
    <col collapsed="false" customWidth="true" hidden="false" outlineLevel="0" max="24" min="24" style="0" width="5"/>
    <col collapsed="false" customWidth="true" hidden="false" outlineLevel="0" max="25" min="25" style="0" width="6.68"/>
  </cols>
  <sheetData>
    <row r="1" customFormat="false" ht="25.55" hidden="false" customHeight="true" outlineLevel="0" collapsed="false">
      <c r="A1" s="5" t="s">
        <v>0</v>
      </c>
      <c r="B1" s="6" t="n">
        <v>44221</v>
      </c>
      <c r="I1" s="7" t="s">
        <v>1</v>
      </c>
      <c r="J1" s="8" t="s">
        <v>2</v>
      </c>
      <c r="M1" s="9" t="s">
        <v>3</v>
      </c>
      <c r="N1" s="9" t="s">
        <v>4</v>
      </c>
      <c r="O1" s="9" t="s">
        <v>5</v>
      </c>
      <c r="P1" s="9" t="s">
        <v>4</v>
      </c>
      <c r="Q1" s="9" t="s">
        <v>6</v>
      </c>
      <c r="R1" s="9" t="s">
        <v>4</v>
      </c>
      <c r="S1" s="9" t="s">
        <v>7</v>
      </c>
      <c r="T1" s="9" t="s">
        <v>4</v>
      </c>
      <c r="U1" s="9" t="s">
        <v>8</v>
      </c>
      <c r="V1" s="9" t="s">
        <v>4</v>
      </c>
      <c r="W1" s="9" t="s">
        <v>9</v>
      </c>
      <c r="X1" s="9" t="s">
        <v>10</v>
      </c>
      <c r="Y1" s="9" t="str">
        <f aca="false">IF(C2&lt;&gt;"","\hline","")</f>
        <v>\hline</v>
      </c>
    </row>
    <row r="2" customFormat="false" ht="13.8" hidden="false" customHeight="false" outlineLevel="0" collapsed="false">
      <c r="B2" s="10"/>
      <c r="C2" s="2" t="str">
        <f aca="false">IF(Calculations!A2,Dates!D2,"")</f>
        <v>W01</v>
      </c>
      <c r="D2" s="2" t="n">
        <f aca="false">IF(Calculations!A2,1,"")</f>
        <v>1</v>
      </c>
      <c r="E2" s="2" t="n">
        <f aca="false">IF(Calculations!A2,Dates!I2,"")</f>
        <v>1</v>
      </c>
      <c r="F2" s="2" t="str">
        <f aca="false">IF(Calculations!A2,Dates!J2,"")</f>
        <v>Jan</v>
      </c>
      <c r="G2" s="11" t="n">
        <f aca="false">IF(Calculations!A2,Dates!K2,"")</f>
        <v>25</v>
      </c>
      <c r="H2" s="2" t="str">
        <f aca="false">IF(Calculations!A2,Dates!H2,"")</f>
        <v>Mo</v>
      </c>
      <c r="I2" s="12" t="n">
        <v>16</v>
      </c>
      <c r="J2" s="12" t="s">
        <v>11</v>
      </c>
      <c r="K2" s="2" t="n">
        <f aca="false">IF(ISNUMBER(I2),1,0)</f>
        <v>1</v>
      </c>
      <c r="M2" s="2" t="str">
        <f aca="false">Calculations!I2</f>
        <v>\multirow{3}{*}{W01}</v>
      </c>
      <c r="N2" s="2" t="str">
        <f aca="false">IF(Calculations!A2,Settings!$B$5,"")</f>
        <v>&amp;</v>
      </c>
      <c r="O2" s="2" t="str">
        <f aca="false">Calculations!J2</f>
        <v>\multirow{3}{*}{Jan}</v>
      </c>
      <c r="P2" s="2" t="str">
        <f aca="false">IF(Calculations!A2,Settings!$B$5,"")</f>
        <v>&amp;</v>
      </c>
      <c r="Q2" s="2" t="str">
        <f aca="false">Calculations!K2</f>
        <v>25</v>
      </c>
      <c r="R2" s="2" t="str">
        <f aca="false">IF(Calculations!A2,Settings!$B$5,"")</f>
        <v>&amp;</v>
      </c>
      <c r="S2" s="2" t="str">
        <f aca="false">Calculations!L2</f>
        <v>Mo\rule{0pt}{11pt}</v>
      </c>
      <c r="T2" s="2" t="str">
        <f aca="false">IF(Calculations!A2,Settings!$B$5,"")</f>
        <v>&amp;</v>
      </c>
      <c r="U2" s="2" t="n">
        <f aca="false">Calculations!M2</f>
        <v>16</v>
      </c>
      <c r="V2" s="2" t="str">
        <f aca="false">IF(Calculations!A2,Settings!$B$5,"")</f>
        <v>&amp;</v>
      </c>
      <c r="W2" s="2" t="str">
        <f aca="false">Calculations!N2</f>
        <v>Temperature and Heat</v>
      </c>
      <c r="X2" s="2" t="str">
        <f aca="false">Calculations!O2</f>
        <v>\\*</v>
      </c>
      <c r="Y2" s="2" t="str">
        <f aca="false">IF(Calculations!P2="","",Calculations!P2)</f>
        <v/>
      </c>
    </row>
    <row r="3" customFormat="false" ht="13.8" hidden="false" customHeight="false" outlineLevel="0" collapsed="false">
      <c r="C3" s="2" t="str">
        <f aca="false">IF(Calculations!A3,Dates!D3,"")</f>
        <v/>
      </c>
      <c r="D3" s="2" t="n">
        <f aca="false">IF(Calculations!A3,1,"")</f>
        <v>1</v>
      </c>
      <c r="E3" s="2" t="n">
        <f aca="false">IF(Calculations!A3,Dates!I3,"")</f>
        <v>1</v>
      </c>
      <c r="F3" s="2" t="str">
        <f aca="false">IF(Calculations!A3,Dates!J3,"")</f>
        <v>Jan</v>
      </c>
      <c r="G3" s="11" t="n">
        <f aca="false">IF(Calculations!A3,Dates!K3,"")</f>
        <v>27</v>
      </c>
      <c r="H3" s="2" t="str">
        <f aca="false">IF(Calculations!A3,Dates!H3,"")</f>
        <v>We</v>
      </c>
      <c r="I3" s="12" t="n">
        <v>16</v>
      </c>
      <c r="J3" s="12" t="s">
        <v>11</v>
      </c>
      <c r="K3" s="2" t="n">
        <f aca="false">IF(ISNUMBER(I3),1,0)</f>
        <v>1</v>
      </c>
      <c r="M3" s="2" t="str">
        <f aca="false">Calculations!I3</f>
        <v/>
      </c>
      <c r="N3" s="2" t="str">
        <f aca="false">IF(Calculations!A3,Settings!$B$5,"")</f>
        <v>&amp;</v>
      </c>
      <c r="O3" s="2" t="str">
        <f aca="false">Calculations!J3</f>
        <v/>
      </c>
      <c r="P3" s="2" t="str">
        <f aca="false">IF(Calculations!A3,Settings!$B$5,"")</f>
        <v>&amp;</v>
      </c>
      <c r="Q3" s="2" t="str">
        <f aca="false">Calculations!K3</f>
        <v>27</v>
      </c>
      <c r="R3" s="2" t="str">
        <f aca="false">IF(Calculations!A3,Settings!$B$5,"")</f>
        <v>&amp;</v>
      </c>
      <c r="S3" s="2" t="str">
        <f aca="false">Calculations!L3</f>
        <v>We</v>
      </c>
      <c r="T3" s="2" t="str">
        <f aca="false">IF(Calculations!A3,Settings!$B$5,"")</f>
        <v>&amp;</v>
      </c>
      <c r="U3" s="2" t="n">
        <f aca="false">Calculations!M3</f>
        <v>16</v>
      </c>
      <c r="V3" s="2" t="str">
        <f aca="false">IF(Calculations!A3,Settings!$B$5,"")</f>
        <v>&amp;</v>
      </c>
      <c r="W3" s="2" t="str">
        <f aca="false">Calculations!N3</f>
        <v>Temperature and Heat</v>
      </c>
      <c r="X3" s="2" t="str">
        <f aca="false">Calculations!O3</f>
        <v>\\*</v>
      </c>
      <c r="Y3" s="2" t="str">
        <f aca="false">IF(Calculations!P3="","",Calculations!P3)</f>
        <v/>
      </c>
    </row>
    <row r="4" customFormat="false" ht="13.8" hidden="false" customHeight="false" outlineLevel="0" collapsed="false">
      <c r="C4" s="2" t="str">
        <f aca="false">IF(Calculations!A4,Dates!D4,"")</f>
        <v/>
      </c>
      <c r="D4" s="2" t="n">
        <f aca="false">IF(Calculations!A4,1,"")</f>
        <v>1</v>
      </c>
      <c r="E4" s="2" t="n">
        <f aca="false">IF(Calculations!A4,Dates!I4,"")</f>
        <v>1</v>
      </c>
      <c r="F4" s="2" t="str">
        <f aca="false">IF(Calculations!A4,Dates!J4,"")</f>
        <v>Jan</v>
      </c>
      <c r="G4" s="11" t="n">
        <f aca="false">IF(Calculations!A4,Dates!K4,"")</f>
        <v>29</v>
      </c>
      <c r="H4" s="2" t="str">
        <f aca="false">IF(Calculations!A4,Dates!H4,"")</f>
        <v>Fr</v>
      </c>
      <c r="I4" s="12" t="n">
        <v>17</v>
      </c>
      <c r="J4" s="12" t="s">
        <v>12</v>
      </c>
      <c r="K4" s="2" t="n">
        <f aca="false">IF(ISNUMBER(I4),1,0)</f>
        <v>1</v>
      </c>
      <c r="M4" s="2" t="str">
        <f aca="false">Calculations!I4</f>
        <v/>
      </c>
      <c r="N4" s="2" t="str">
        <f aca="false">IF(Calculations!A4,Settings!$B$5,"")</f>
        <v>&amp;</v>
      </c>
      <c r="O4" s="2" t="str">
        <f aca="false">Calculations!J4</f>
        <v/>
      </c>
      <c r="P4" s="2" t="str">
        <f aca="false">IF(Calculations!A4,Settings!$B$5,"")</f>
        <v>&amp;</v>
      </c>
      <c r="Q4" s="2" t="str">
        <f aca="false">Calculations!K4</f>
        <v>29</v>
      </c>
      <c r="R4" s="2" t="str">
        <f aca="false">IF(Calculations!A4,Settings!$B$5,"")</f>
        <v>&amp;</v>
      </c>
      <c r="S4" s="2" t="str">
        <f aca="false">Calculations!L4</f>
        <v>Fr</v>
      </c>
      <c r="T4" s="2" t="str">
        <f aca="false">IF(Calculations!A4,Settings!$B$5,"")</f>
        <v>&amp;</v>
      </c>
      <c r="U4" s="2" t="n">
        <f aca="false">Calculations!M4</f>
        <v>17</v>
      </c>
      <c r="V4" s="2" t="str">
        <f aca="false">IF(Calculations!A4,Settings!$B$5,"")</f>
        <v>&amp;</v>
      </c>
      <c r="W4" s="2" t="str">
        <f aca="false">Calculations!N4</f>
        <v>The Thermal Behavior of Matter</v>
      </c>
      <c r="X4" s="2" t="str">
        <f aca="false">Calculations!O4</f>
        <v>\\</v>
      </c>
      <c r="Y4" s="2" t="str">
        <f aca="false">IF(Calculations!P4="","",Calculations!P4)</f>
        <v>\hline</v>
      </c>
    </row>
    <row r="5" customFormat="false" ht="13.8" hidden="false" customHeight="false" outlineLevel="0" collapsed="false">
      <c r="A5" s="13" t="s">
        <v>13</v>
      </c>
      <c r="B5" s="13"/>
      <c r="C5" s="2" t="str">
        <f aca="false">IF(Calculations!A5,Dates!D5,"")</f>
        <v>W02</v>
      </c>
      <c r="D5" s="2" t="n">
        <f aca="false">IF(Calculations!A5,1,"")</f>
        <v>1</v>
      </c>
      <c r="E5" s="2" t="n">
        <f aca="false">IF(Calculations!A5,Dates!I5,"")</f>
        <v>2</v>
      </c>
      <c r="F5" s="2" t="str">
        <f aca="false">IF(Calculations!A5,Dates!J5,"")</f>
        <v>Feb</v>
      </c>
      <c r="G5" s="11" t="n">
        <f aca="false">IF(Calculations!A5,Dates!K5,"")</f>
        <v>1</v>
      </c>
      <c r="H5" s="2" t="str">
        <f aca="false">IF(Calculations!A5,Dates!H5,"")</f>
        <v>Mo</v>
      </c>
      <c r="I5" s="12" t="n">
        <v>17</v>
      </c>
      <c r="J5" s="12" t="s">
        <v>12</v>
      </c>
      <c r="K5" s="2" t="n">
        <f aca="false">IF(ISNUMBER(I5),1,0)</f>
        <v>1</v>
      </c>
      <c r="M5" s="2" t="str">
        <f aca="false">Calculations!I5</f>
        <v>\multirow{3}{*}{W02}</v>
      </c>
      <c r="N5" s="2" t="str">
        <f aca="false">IF(Calculations!A5,Settings!$B$5,"")</f>
        <v>&amp;</v>
      </c>
      <c r="O5" s="2" t="str">
        <f aca="false">Calculations!J5</f>
        <v>\multirow{3}{*}{Feb}</v>
      </c>
      <c r="P5" s="2" t="str">
        <f aca="false">IF(Calculations!A5,Settings!$B$5,"")</f>
        <v>&amp;</v>
      </c>
      <c r="Q5" s="2" t="str">
        <f aca="false">Calculations!K5</f>
        <v>01</v>
      </c>
      <c r="R5" s="2" t="str">
        <f aca="false">IF(Calculations!A5,Settings!$B$5,"")</f>
        <v>&amp;</v>
      </c>
      <c r="S5" s="2" t="str">
        <f aca="false">Calculations!L5</f>
        <v>Mo\rule{0pt}{11pt}</v>
      </c>
      <c r="T5" s="2" t="str">
        <f aca="false">IF(Calculations!A5,Settings!$B$5,"")</f>
        <v>&amp;</v>
      </c>
      <c r="U5" s="2" t="n">
        <f aca="false">Calculations!M5</f>
        <v>17</v>
      </c>
      <c r="V5" s="2" t="str">
        <f aca="false">IF(Calculations!A5,Settings!$B$5,"")</f>
        <v>&amp;</v>
      </c>
      <c r="W5" s="2" t="str">
        <f aca="false">Calculations!N5</f>
        <v>The Thermal Behavior of Matter</v>
      </c>
      <c r="X5" s="2" t="str">
        <f aca="false">Calculations!O5</f>
        <v>\\*</v>
      </c>
      <c r="Y5" s="2" t="str">
        <f aca="false">IF(Calculations!P5="","",Calculations!P5)</f>
        <v/>
      </c>
    </row>
    <row r="6" customFormat="false" ht="13.8" hidden="false" customHeight="false" outlineLevel="0" collapsed="false">
      <c r="A6" s="14" t="s">
        <v>14</v>
      </c>
      <c r="B6" s="15" t="s">
        <v>15</v>
      </c>
      <c r="C6" s="2" t="str">
        <f aca="false">IF(Calculations!A6,Dates!D6,"")</f>
        <v/>
      </c>
      <c r="D6" s="2" t="n">
        <f aca="false">IF(Calculations!A6,1,"")</f>
        <v>1</v>
      </c>
      <c r="E6" s="2" t="n">
        <f aca="false">IF(Calculations!A6,Dates!I6,"")</f>
        <v>2</v>
      </c>
      <c r="F6" s="2" t="str">
        <f aca="false">IF(Calculations!A6,Dates!J6,"")</f>
        <v>Feb</v>
      </c>
      <c r="G6" s="11" t="n">
        <f aca="false">IF(Calculations!A6,Dates!K6,"")</f>
        <v>3</v>
      </c>
      <c r="H6" s="2" t="str">
        <f aca="false">IF(Calculations!A6,Dates!H6,"")</f>
        <v>We</v>
      </c>
      <c r="I6" s="12" t="n">
        <v>18</v>
      </c>
      <c r="J6" s="12" t="s">
        <v>16</v>
      </c>
      <c r="K6" s="2" t="n">
        <f aca="false">IF(ISNUMBER(I6),1,0)</f>
        <v>1</v>
      </c>
      <c r="M6" s="2" t="str">
        <f aca="false">Calculations!I6</f>
        <v/>
      </c>
      <c r="N6" s="2" t="str">
        <f aca="false">IF(Calculations!A6,Settings!$B$5,"")</f>
        <v>&amp;</v>
      </c>
      <c r="O6" s="2" t="str">
        <f aca="false">Calculations!J6</f>
        <v/>
      </c>
      <c r="P6" s="2" t="str">
        <f aca="false">IF(Calculations!A6,Settings!$B$5,"")</f>
        <v>&amp;</v>
      </c>
      <c r="Q6" s="2" t="str">
        <f aca="false">Calculations!K6</f>
        <v>03</v>
      </c>
      <c r="R6" s="2" t="str">
        <f aca="false">IF(Calculations!A6,Settings!$B$5,"")</f>
        <v>&amp;</v>
      </c>
      <c r="S6" s="2" t="str">
        <f aca="false">Calculations!L6</f>
        <v>We</v>
      </c>
      <c r="T6" s="2" t="str">
        <f aca="false">IF(Calculations!A6,Settings!$B$5,"")</f>
        <v>&amp;</v>
      </c>
      <c r="U6" s="2" t="n">
        <f aca="false">Calculations!M6</f>
        <v>18</v>
      </c>
      <c r="V6" s="2" t="str">
        <f aca="false">IF(Calculations!A6,Settings!$B$5,"")</f>
        <v>&amp;</v>
      </c>
      <c r="W6" s="2" t="str">
        <f aca="false">Calculations!N6</f>
        <v>Heat, Work, and the First Law of Thermodynamics</v>
      </c>
      <c r="X6" s="2" t="str">
        <f aca="false">Calculations!O6</f>
        <v>\\*</v>
      </c>
      <c r="Y6" s="2" t="str">
        <f aca="false">IF(Calculations!P6="","",Calculations!P6)</f>
        <v/>
      </c>
    </row>
    <row r="7" customFormat="false" ht="13.8" hidden="false" customHeight="false" outlineLevel="0" collapsed="false">
      <c r="A7" s="14" t="s">
        <v>17</v>
      </c>
      <c r="B7" s="15"/>
      <c r="C7" s="2" t="str">
        <f aca="false">IF(Calculations!A7,Dates!D7,"")</f>
        <v/>
      </c>
      <c r="D7" s="2" t="n">
        <f aca="false">IF(Calculations!A7,1,"")</f>
        <v>1</v>
      </c>
      <c r="E7" s="2" t="n">
        <f aca="false">IF(Calculations!A7,Dates!I7,"")</f>
        <v>2</v>
      </c>
      <c r="F7" s="2" t="str">
        <f aca="false">IF(Calculations!A7,Dates!J7,"")</f>
        <v>Feb</v>
      </c>
      <c r="G7" s="11" t="n">
        <f aca="false">IF(Calculations!A7,Dates!K7,"")</f>
        <v>5</v>
      </c>
      <c r="H7" s="2" t="str">
        <f aca="false">IF(Calculations!A7,Dates!H7,"")</f>
        <v>Fr</v>
      </c>
      <c r="I7" s="12" t="n">
        <v>18</v>
      </c>
      <c r="J7" s="12" t="s">
        <v>16</v>
      </c>
      <c r="K7" s="2" t="n">
        <f aca="false">IF(ISNUMBER(I7),1,0)</f>
        <v>1</v>
      </c>
      <c r="M7" s="2" t="str">
        <f aca="false">Calculations!I7</f>
        <v/>
      </c>
      <c r="N7" s="2" t="str">
        <f aca="false">IF(Calculations!A7,Settings!$B$5,"")</f>
        <v>&amp;</v>
      </c>
      <c r="O7" s="2" t="str">
        <f aca="false">Calculations!J7</f>
        <v/>
      </c>
      <c r="P7" s="2" t="str">
        <f aca="false">IF(Calculations!A7,Settings!$B$5,"")</f>
        <v>&amp;</v>
      </c>
      <c r="Q7" s="2" t="str">
        <f aca="false">Calculations!K7</f>
        <v>05</v>
      </c>
      <c r="R7" s="2" t="str">
        <f aca="false">IF(Calculations!A7,Settings!$B$5,"")</f>
        <v>&amp;</v>
      </c>
      <c r="S7" s="2" t="str">
        <f aca="false">Calculations!L7</f>
        <v>Fr</v>
      </c>
      <c r="T7" s="2" t="str">
        <f aca="false">IF(Calculations!A7,Settings!$B$5,"")</f>
        <v>&amp;</v>
      </c>
      <c r="U7" s="2" t="n">
        <f aca="false">Calculations!M7</f>
        <v>18</v>
      </c>
      <c r="V7" s="2" t="str">
        <f aca="false">IF(Calculations!A7,Settings!$B$5,"")</f>
        <v>&amp;</v>
      </c>
      <c r="W7" s="2" t="str">
        <f aca="false">Calculations!N7</f>
        <v>Heat, Work, and the First Law of Thermodynamics</v>
      </c>
      <c r="X7" s="2" t="str">
        <f aca="false">Calculations!O7</f>
        <v>\\</v>
      </c>
      <c r="Y7" s="2" t="str">
        <f aca="false">IF(Calculations!P7="","",Calculations!P7)</f>
        <v>\hline</v>
      </c>
    </row>
    <row r="8" customFormat="false" ht="13.8" hidden="false" customHeight="false" outlineLevel="0" collapsed="false">
      <c r="A8" s="14" t="s">
        <v>18</v>
      </c>
      <c r="B8" s="15" t="s">
        <v>15</v>
      </c>
      <c r="C8" s="2" t="str">
        <f aca="false">IF(Calculations!A8,Dates!D8,"")</f>
        <v>W03</v>
      </c>
      <c r="D8" s="2" t="n">
        <f aca="false">IF(Calculations!A8,1,"")</f>
        <v>1</v>
      </c>
      <c r="E8" s="2" t="n">
        <f aca="false">IF(Calculations!A8,Dates!I8,"")</f>
        <v>2</v>
      </c>
      <c r="F8" s="2" t="str">
        <f aca="false">IF(Calculations!A8,Dates!J8,"")</f>
        <v>Feb</v>
      </c>
      <c r="G8" s="11" t="n">
        <f aca="false">IF(Calculations!A8,Dates!K8,"")</f>
        <v>8</v>
      </c>
      <c r="H8" s="2" t="str">
        <f aca="false">IF(Calculations!A8,Dates!H8,"")</f>
        <v>Mo</v>
      </c>
      <c r="I8" s="12" t="n">
        <v>19</v>
      </c>
      <c r="J8" s="12" t="s">
        <v>19</v>
      </c>
      <c r="K8" s="2" t="n">
        <f aca="false">IF(ISNUMBER(I8),1,0)</f>
        <v>1</v>
      </c>
      <c r="M8" s="2" t="str">
        <f aca="false">Calculations!I8</f>
        <v>\multirow{3}{*}{W03}</v>
      </c>
      <c r="N8" s="2" t="str">
        <f aca="false">IF(Calculations!A8,Settings!$B$5,"")</f>
        <v>&amp;</v>
      </c>
      <c r="O8" s="2" t="str">
        <f aca="false">Calculations!J8</f>
        <v>\multirow{3}{*}{Feb}</v>
      </c>
      <c r="P8" s="2" t="str">
        <f aca="false">IF(Calculations!A8,Settings!$B$5,"")</f>
        <v>&amp;</v>
      </c>
      <c r="Q8" s="2" t="str">
        <f aca="false">Calculations!K8</f>
        <v>08</v>
      </c>
      <c r="R8" s="2" t="str">
        <f aca="false">IF(Calculations!A8,Settings!$B$5,"")</f>
        <v>&amp;</v>
      </c>
      <c r="S8" s="2" t="str">
        <f aca="false">Calculations!L8</f>
        <v>Mo\rule{0pt}{11pt}</v>
      </c>
      <c r="T8" s="2" t="str">
        <f aca="false">IF(Calculations!A8,Settings!$B$5,"")</f>
        <v>&amp;</v>
      </c>
      <c r="U8" s="2" t="n">
        <f aca="false">Calculations!M8</f>
        <v>19</v>
      </c>
      <c r="V8" s="2" t="str">
        <f aca="false">IF(Calculations!A8,Settings!$B$5,"")</f>
        <v>&amp;</v>
      </c>
      <c r="W8" s="2" t="str">
        <f aca="false">Calculations!N8</f>
        <v>Spring Vacation</v>
      </c>
      <c r="X8" s="2" t="str">
        <f aca="false">Calculations!O8</f>
        <v>\\*</v>
      </c>
      <c r="Y8" s="2" t="str">
        <f aca="false">IF(Calculations!P8="","",Calculations!P8)</f>
        <v/>
      </c>
    </row>
    <row r="9" customFormat="false" ht="13.8" hidden="false" customHeight="false" outlineLevel="0" collapsed="false">
      <c r="A9" s="14" t="s">
        <v>20</v>
      </c>
      <c r="B9" s="15"/>
      <c r="C9" s="2" t="str">
        <f aca="false">IF(Calculations!A9,Dates!D9,"")</f>
        <v/>
      </c>
      <c r="D9" s="2" t="n">
        <f aca="false">IF(Calculations!A9,1,"")</f>
        <v>1</v>
      </c>
      <c r="E9" s="2" t="n">
        <f aca="false">IF(Calculations!A9,Dates!I9,"")</f>
        <v>2</v>
      </c>
      <c r="F9" s="2" t="str">
        <f aca="false">IF(Calculations!A9,Dates!J9,"")</f>
        <v>Feb</v>
      </c>
      <c r="G9" s="11" t="n">
        <f aca="false">IF(Calculations!A9,Dates!K9,"")</f>
        <v>10</v>
      </c>
      <c r="H9" s="2" t="str">
        <f aca="false">IF(Calculations!A9,Dates!H9,"")</f>
        <v>We</v>
      </c>
      <c r="I9" s="12" t="n">
        <v>19</v>
      </c>
      <c r="J9" s="12" t="s">
        <v>21</v>
      </c>
      <c r="K9" s="2" t="n">
        <f aca="false">IF(ISNUMBER(I9),1,0)</f>
        <v>1</v>
      </c>
      <c r="M9" s="2" t="str">
        <f aca="false">Calculations!I9</f>
        <v/>
      </c>
      <c r="N9" s="2" t="str">
        <f aca="false">IF(Calculations!A9,Settings!$B$5,"")</f>
        <v>&amp;</v>
      </c>
      <c r="O9" s="2" t="str">
        <f aca="false">Calculations!J9</f>
        <v/>
      </c>
      <c r="P9" s="2" t="str">
        <f aca="false">IF(Calculations!A9,Settings!$B$5,"")</f>
        <v>&amp;</v>
      </c>
      <c r="Q9" s="2" t="str">
        <f aca="false">Calculations!K9</f>
        <v>10</v>
      </c>
      <c r="R9" s="2" t="str">
        <f aca="false">IF(Calculations!A9,Settings!$B$5,"")</f>
        <v>&amp;</v>
      </c>
      <c r="S9" s="2" t="str">
        <f aca="false">Calculations!L9</f>
        <v>We</v>
      </c>
      <c r="T9" s="2" t="str">
        <f aca="false">IF(Calculations!A9,Settings!$B$5,"")</f>
        <v>&amp;</v>
      </c>
      <c r="U9" s="2" t="n">
        <f aca="false">Calculations!M9</f>
        <v>19</v>
      </c>
      <c r="V9" s="2" t="str">
        <f aca="false">IF(Calculations!A9,Settings!$B$5,"")</f>
        <v>&amp;</v>
      </c>
      <c r="W9" s="2" t="str">
        <f aca="false">Calculations!N9</f>
        <v>The Second Law of Thermodynamics  </v>
      </c>
      <c r="X9" s="2" t="str">
        <f aca="false">Calculations!O9</f>
        <v>\\*</v>
      </c>
      <c r="Y9" s="2" t="str">
        <f aca="false">IF(Calculations!P9="","",Calculations!P9)</f>
        <v/>
      </c>
    </row>
    <row r="10" customFormat="false" ht="13.8" hidden="false" customHeight="false" outlineLevel="0" collapsed="false">
      <c r="A10" s="14" t="s">
        <v>22</v>
      </c>
      <c r="B10" s="15" t="s">
        <v>15</v>
      </c>
      <c r="C10" s="2" t="str">
        <f aca="false">IF(Calculations!A10,Dates!D10,"")</f>
        <v/>
      </c>
      <c r="D10" s="2" t="n">
        <f aca="false">IF(Calculations!A10,1,"")</f>
        <v>1</v>
      </c>
      <c r="E10" s="2" t="n">
        <f aca="false">IF(Calculations!A10,Dates!I10,"")</f>
        <v>2</v>
      </c>
      <c r="F10" s="2" t="str">
        <f aca="false">IF(Calculations!A10,Dates!J10,"")</f>
        <v>Feb</v>
      </c>
      <c r="G10" s="11" t="n">
        <f aca="false">IF(Calculations!A10,Dates!K10,"")</f>
        <v>12</v>
      </c>
      <c r="H10" s="2" t="str">
        <f aca="false">IF(Calculations!A10,Dates!H10,"")</f>
        <v>Fr</v>
      </c>
      <c r="I10" s="12" t="n">
        <v>19</v>
      </c>
      <c r="J10" s="12" t="s">
        <v>21</v>
      </c>
      <c r="K10" s="2" t="n">
        <f aca="false">IF(ISNUMBER(I10),1,0)</f>
        <v>1</v>
      </c>
      <c r="M10" s="2" t="str">
        <f aca="false">Calculations!I10</f>
        <v/>
      </c>
      <c r="N10" s="2" t="str">
        <f aca="false">IF(Calculations!A10,Settings!$B$5,"")</f>
        <v>&amp;</v>
      </c>
      <c r="O10" s="2" t="str">
        <f aca="false">Calculations!J10</f>
        <v/>
      </c>
      <c r="P10" s="2" t="str">
        <f aca="false">IF(Calculations!A10,Settings!$B$5,"")</f>
        <v>&amp;</v>
      </c>
      <c r="Q10" s="2" t="str">
        <f aca="false">Calculations!K10</f>
        <v>12</v>
      </c>
      <c r="R10" s="2" t="str">
        <f aca="false">IF(Calculations!A10,Settings!$B$5,"")</f>
        <v>&amp;</v>
      </c>
      <c r="S10" s="2" t="str">
        <f aca="false">Calculations!L10</f>
        <v>Fr</v>
      </c>
      <c r="T10" s="2" t="str">
        <f aca="false">IF(Calculations!A10,Settings!$B$5,"")</f>
        <v>&amp;</v>
      </c>
      <c r="U10" s="2" t="n">
        <f aca="false">Calculations!M10</f>
        <v>19</v>
      </c>
      <c r="V10" s="2" t="str">
        <f aca="false">IF(Calculations!A10,Settings!$B$5,"")</f>
        <v>&amp;</v>
      </c>
      <c r="W10" s="2" t="str">
        <f aca="false">Calculations!N10</f>
        <v>The Second Law of Thermodynamics  </v>
      </c>
      <c r="X10" s="2" t="str">
        <f aca="false">Calculations!O10</f>
        <v>\\</v>
      </c>
      <c r="Y10" s="2" t="str">
        <f aca="false">IF(Calculations!P10="","",Calculations!P10)</f>
        <v>\hline</v>
      </c>
    </row>
    <row r="11" customFormat="false" ht="13.8" hidden="false" customHeight="false" outlineLevel="0" collapsed="false">
      <c r="C11" s="2" t="str">
        <f aca="false">IF(Calculations!A11,Dates!D11,"")</f>
        <v>W04</v>
      </c>
      <c r="D11" s="2" t="n">
        <f aca="false">IF(Calculations!A11,1,"")</f>
        <v>1</v>
      </c>
      <c r="E11" s="2" t="n">
        <f aca="false">IF(Calculations!A11,Dates!I11,"")</f>
        <v>2</v>
      </c>
      <c r="F11" s="2" t="str">
        <f aca="false">IF(Calculations!A11,Dates!J11,"")</f>
        <v>Feb</v>
      </c>
      <c r="G11" s="11" t="n">
        <f aca="false">IF(Calculations!A11,Dates!K11,"")</f>
        <v>15</v>
      </c>
      <c r="H11" s="2" t="str">
        <f aca="false">IF(Calculations!A11,Dates!H11,"")</f>
        <v>Mo</v>
      </c>
      <c r="I11" s="12" t="s">
        <v>23</v>
      </c>
      <c r="J11" s="16" t="s">
        <v>24</v>
      </c>
      <c r="K11" s="2" t="n">
        <f aca="false">IF(ISNUMBER(I11),1,0)</f>
        <v>0</v>
      </c>
      <c r="M11" s="2" t="str">
        <f aca="false">Calculations!I11</f>
        <v>\multirow{3}{*}{W04}</v>
      </c>
      <c r="N11" s="2" t="str">
        <f aca="false">IF(Calculations!A11,Settings!$B$5,"")</f>
        <v>&amp;</v>
      </c>
      <c r="O11" s="2" t="str">
        <f aca="false">Calculations!J11</f>
        <v>\multirow{3}{*}{Feb}</v>
      </c>
      <c r="P11" s="2" t="str">
        <f aca="false">IF(Calculations!A11,Settings!$B$5,"")</f>
        <v>&amp;</v>
      </c>
      <c r="Q11" s="2" t="str">
        <f aca="false">Calculations!K11</f>
        <v>15</v>
      </c>
      <c r="R11" s="2" t="str">
        <f aca="false">IF(Calculations!A11,Settings!$B$5,"")</f>
        <v>&amp;</v>
      </c>
      <c r="S11" s="2" t="str">
        <f aca="false">Calculations!L11</f>
        <v>Mo\rule{0pt}{11pt}</v>
      </c>
      <c r="T11" s="2" t="str">
        <f aca="false">IF(Calculations!A11,Settings!$B$5,"")</f>
        <v>&amp;</v>
      </c>
      <c r="U11" s="2" t="str">
        <f aca="false">Calculations!M11</f>
        <v>No class</v>
      </c>
      <c r="V11" s="2" t="str">
        <f aca="false">IF(Calculations!A11,Settings!$B$5,"")</f>
        <v>&amp;</v>
      </c>
      <c r="W11" s="2" t="str">
        <f aca="false">Calculations!N11</f>
        <v>President's Day</v>
      </c>
      <c r="X11" s="2" t="str">
        <f aca="false">Calculations!O11</f>
        <v>\\*</v>
      </c>
      <c r="Y11" s="2" t="str">
        <f aca="false">IF(Calculations!P11="","",Calculations!P11)</f>
        <v/>
      </c>
    </row>
    <row r="12" customFormat="false" ht="13.7" hidden="false" customHeight="true" outlineLevel="0" collapsed="false">
      <c r="A12" s="17" t="s">
        <v>25</v>
      </c>
      <c r="C12" s="2" t="str">
        <f aca="false">IF(Calculations!A12,Dates!D12,"")</f>
        <v/>
      </c>
      <c r="D12" s="2" t="n">
        <f aca="false">IF(Calculations!A12,1,"")</f>
        <v>1</v>
      </c>
      <c r="E12" s="2" t="n">
        <f aca="false">IF(Calculations!A12,Dates!I12,"")</f>
        <v>2</v>
      </c>
      <c r="F12" s="2" t="str">
        <f aca="false">IF(Calculations!A12,Dates!J12,"")</f>
        <v>Feb</v>
      </c>
      <c r="G12" s="11" t="n">
        <f aca="false">IF(Calculations!A12,Dates!K12,"")</f>
        <v>17</v>
      </c>
      <c r="H12" s="2" t="str">
        <f aca="false">IF(Calculations!A12,Dates!H12,"")</f>
        <v>We</v>
      </c>
      <c r="I12" s="12" t="n">
        <v>20</v>
      </c>
      <c r="J12" s="12" t="s">
        <v>26</v>
      </c>
      <c r="K12" s="2" t="n">
        <f aca="false">IF(ISNUMBER(I12),1,0)</f>
        <v>1</v>
      </c>
      <c r="M12" s="2" t="str">
        <f aca="false">Calculations!I12</f>
        <v/>
      </c>
      <c r="N12" s="2" t="str">
        <f aca="false">IF(Calculations!A12,Settings!$B$5,"")</f>
        <v>&amp;</v>
      </c>
      <c r="O12" s="2" t="str">
        <f aca="false">Calculations!J12</f>
        <v/>
      </c>
      <c r="P12" s="2" t="str">
        <f aca="false">IF(Calculations!A12,Settings!$B$5,"")</f>
        <v>&amp;</v>
      </c>
      <c r="Q12" s="2" t="str">
        <f aca="false">Calculations!K12</f>
        <v>17</v>
      </c>
      <c r="R12" s="2" t="str">
        <f aca="false">IF(Calculations!A12,Settings!$B$5,"")</f>
        <v>&amp;</v>
      </c>
      <c r="S12" s="2" t="str">
        <f aca="false">Calculations!L12</f>
        <v>We</v>
      </c>
      <c r="T12" s="2" t="str">
        <f aca="false">IF(Calculations!A12,Settings!$B$5,"")</f>
        <v>&amp;</v>
      </c>
      <c r="U12" s="2" t="n">
        <f aca="false">Calculations!M12</f>
        <v>20</v>
      </c>
      <c r="V12" s="2" t="str">
        <f aca="false">IF(Calculations!A12,Settings!$B$5,"")</f>
        <v>&amp;</v>
      </c>
      <c r="W12" s="2" t="str">
        <f aca="false">Calculations!N12</f>
        <v>Electric Charge, Force, and Field</v>
      </c>
      <c r="X12" s="2" t="str">
        <f aca="false">Calculations!O12</f>
        <v>\\*</v>
      </c>
      <c r="Y12" s="2" t="str">
        <f aca="false">IF(Calculations!P12="","",Calculations!P12)</f>
        <v/>
      </c>
    </row>
    <row r="13" customFormat="false" ht="13.7" hidden="false" customHeight="true" outlineLevel="0" collapsed="false">
      <c r="A13" s="18" t="s">
        <v>27</v>
      </c>
      <c r="B13" s="19" t="str">
        <f aca="false">_xlfn.TEXTJOIN(CHAR(10),1,Export!B5:B264)</f>
        <v>\multirow{3}{*}{W01}	&amp;	\multirow{3}{*}{Jan}	&amp;	25	&amp;	Mo\rule{0pt}{11pt}	&amp;	16	&amp;	Temperature and Heat	\\*	
	&amp;		&amp;	27	&amp;	We	&amp;	16	&amp;	Temperature and Heat	\\*	
	&amp;		&amp;	29	&amp;	Fr	&amp;	17	&amp;	The Thermal Behavior of Matter	\\	\hline
\multirow{3}{*}{W02}	&amp;	\multirow{3}{*}{Feb}	&amp;	01	&amp;	Mo\rule{0pt}{11pt}	&amp;	17	&amp;	The Thermal Behavior of Matter	\\*	
	&amp;		&amp;	03	&amp;	We	&amp;	18	&amp;	Heat, Work, and the First Law of Thermodynamics	\\*	
	&amp;		&amp;	05	&amp;	Fr	&amp;	18	&amp;	Heat, Work, and the First Law of Thermodynamics	\\	\hline
\multirow{3}{*}{W03}	&amp;	\multirow{3}{*}{Feb}	&amp;	08	&amp;	Mo\rule{0pt}{11pt}	&amp;	19	&amp;	Spring Vacation	\\*	
	&amp;		&amp;	10	&amp;	We	&amp;	19	&amp;	The Second Law of Thermodynamics  	\\*	
	&amp;		&amp;	12	&amp;	Fr	&amp;	19	&amp;	The Second Law of Thermodynamics  	\\	\hline
\multirow{3}{*}{W04}	&amp;	\multirow{3}{*}{Feb}	&amp;	15	&amp;	Mo\rule{0pt}{11pt}	&amp;	No class	&amp;	President's Day	\\*	
	&amp;		&amp;	17	&amp;	We	&amp;	20	&amp;	Electric Charge, Force, and Field	\\*	
	&amp;		&amp;	19	&amp;	Fr	&amp;	20	&amp;	Electric Charge, Force, and Field	\\	\hline
\multirow{3}{*}{W05}	&amp;	\multirow{3}{*}{Feb}	&amp;	22	&amp;	Mo\rule{0pt}{11pt}	&amp;	21	&amp;	Gauss’s Law	\\*	
	&amp;		&amp;	24	&amp;	We	&amp;	21	&amp;	Gauss’s Law	\\*	
	&amp;		&amp;	26	&amp;	Fr	&amp;	\textbf{Midterm 1}	&amp;		\\	\hline
\multirow{3}{*}{W06}	&amp;	\multirow{3}{*}{Mar}	&amp;	01	&amp;	Mo\rule{0pt}{11pt}	&amp;	21	&amp;	Gauss’s Law	\\*	
	&amp;		&amp;	03	&amp;	We	&amp;	22	&amp;	Electric Potential  	\\*	
	&amp;		&amp;	05	&amp;	Fr	&amp;	22	&amp;	Electric Potential  	\\	\hline
\multirow{3}{*}{W07}	&amp;	\multirow{3}{*}{Mar}	&amp;	08	&amp;	Mo\rule{0pt}{11pt}	&amp;	23	&amp;	Electrostatic Energy and Capacitors 	\\*	
	&amp;		&amp;	10	&amp;	We	&amp;	23	&amp;	Electrostatic Energy and Capacitors 	\\*	
	&amp;		&amp;	12	&amp;	Fr	&amp;	24	&amp;	Electric Current 	\\	\hline
\multirow{3}{*}{W08}	&amp;	\multirow{3}{*}{Mar}	&amp;	15	&amp;	Mo\rule{0pt}{11pt}	&amp;	No class	&amp;	Spring Vacation	\\*	
	&amp;		&amp;	17	&amp;	We	&amp;	No class	&amp;	Spring Vacation	\\*	
	&amp;		&amp;	19	&amp;	Fr	&amp;	No class	&amp;	Spring Vacation	\\	\hline
\multirow{3}{*}{W09}	&amp;	\multirow{3}{*}{Mar}	&amp;	22	&amp;	Mo\rule{0pt}{11pt}	&amp;	24	&amp;	Electric Current 	\\*	
	&amp;		&amp;	24	&amp;	We	&amp;	25	&amp;	Electric Circuits 	\\*	
	&amp;		&amp;	26	&amp;	Fr	&amp;	25	&amp;	Electric Circuits 	\\	\hline
\multirow{3}{*}{W10}	&amp;	\multirow{2}{*}{Mar}	&amp;	29	&amp;	Mo\rule{0pt}{11pt}	&amp;	26	&amp;	Magnetism: Force and Field	\\*	
	&amp;		&amp;	31	&amp;	We	&amp;	26	&amp;	Magnetism: Force and Field	\\*	
	&amp;	Apr	&amp;	02	&amp;	Fr	&amp;	26	&amp;	Magnetism: Force and Field	\\	\hline
\multirow{3}{*}{W11}	&amp;	\multirow{3}{*}{Apr}	&amp;	05	&amp;	Mo\rule{0pt}{11pt}	&amp;	26	&amp;	Magnetism: Force and Field	\\*	
	&amp;		&amp;	07	&amp;	We	&amp;	27	&amp;	Electromagnetic Induction	\\*	
	&amp;		&amp;	09	&amp;	Fr	&amp;	\textbf{Midterm 2}	&amp;		\\	\hline
\multirow{3}{*}{W12}	&amp;	\multirow{3}{*}{Apr}	&amp;	12	&amp;	Mo\rule{0pt}{11pt}	&amp;	27	&amp;	Electromagnetic Induction	\\*	
	&amp;		&amp;	14	&amp;	We	&amp;	27	&amp;	Electromagnetic Induction	\\*	
	&amp;		&amp;	16	&amp;	Fr	&amp;	28	&amp;	Alternating-Current Circuits	\\	\hline
\multirow{3}{*}{W13}	&amp;	\multirow{3}{*}{Apr}	&amp;	19	&amp;	Mo\rule{0pt}{11pt}	&amp;	No class	&amp;	Patriot’s Day	\\*	
	&amp;		&amp;	21	&amp;	We	&amp;	28	&amp;	Alternating-Current Circuits	\\*	
	&amp;		&amp;	23	&amp;	Fr	&amp;	29	&amp;	Maxwell’s Equations and Electromagnetic Waves	\\	\hline
\multirow{3}{*}{W14}	&amp;	\multirow{3}{*}{Apr}	&amp;	26	&amp;	Mo\rule{0pt}{11pt}	&amp;	29	&amp;	Maxwell’s Equations and Electromagnetic Waves	\\*	
	&amp;		&amp;	28	&amp;	We	&amp;	30	&amp;	Reflection and Refraction	\\*	
	&amp;		&amp;	30	&amp;	Fr	&amp;	30	&amp;	Reflection and Refraction	\\	\hline
\multirow{3}{*}{W15}	&amp;	\multirow{3}{*}{May}	&amp;	03	&amp;	Mo\rule{0pt}{11pt}	&amp;	31	&amp;	Images and Optical Instruments	\\*	
	&amp;		&amp;	05	&amp;	We	&amp;	31	&amp;	Images and Optical Instruments	\\*	
	&amp;		&amp;	07	&amp;	Fr	&amp;	32	&amp;	 Interference and Diffraction	\\	\hline
\multirow{2}{*}{W16}	&amp;	\multirow{2}{*}{May}	&amp;	10	&amp;	Mo\rule{0pt}{11pt}	&amp;	32	&amp;	 Interference and Diffraction	\\*	
	&amp;		&amp;	12	&amp;	We	&amp;	32	&amp;	 Interference and Diffraction	\\	\hline</v>
      </c>
      <c r="C13" s="2" t="str">
        <f aca="false">IF(Calculations!A13,Dates!D13,"")</f>
        <v/>
      </c>
      <c r="D13" s="2" t="n">
        <f aca="false">IF(Calculations!A13,1,"")</f>
        <v>1</v>
      </c>
      <c r="E13" s="2" t="n">
        <f aca="false">IF(Calculations!A13,Dates!I13,"")</f>
        <v>2</v>
      </c>
      <c r="F13" s="2" t="str">
        <f aca="false">IF(Calculations!A13,Dates!J13,"")</f>
        <v>Feb</v>
      </c>
      <c r="G13" s="11" t="n">
        <f aca="false">IF(Calculations!A13,Dates!K13,"")</f>
        <v>19</v>
      </c>
      <c r="H13" s="2" t="str">
        <f aca="false">IF(Calculations!A13,Dates!H13,"")</f>
        <v>Fr</v>
      </c>
      <c r="I13" s="12" t="n">
        <v>20</v>
      </c>
      <c r="J13" s="12" t="s">
        <v>26</v>
      </c>
      <c r="K13" s="2" t="n">
        <f aca="false">IF(ISNUMBER(I13),1,0)</f>
        <v>1</v>
      </c>
      <c r="M13" s="2" t="str">
        <f aca="false">Calculations!I13</f>
        <v/>
      </c>
      <c r="N13" s="2" t="str">
        <f aca="false">IF(Calculations!A13,Settings!$B$5,"")</f>
        <v>&amp;</v>
      </c>
      <c r="O13" s="2" t="str">
        <f aca="false">Calculations!J13</f>
        <v/>
      </c>
      <c r="P13" s="2" t="str">
        <f aca="false">IF(Calculations!A13,Settings!$B$5,"")</f>
        <v>&amp;</v>
      </c>
      <c r="Q13" s="2" t="str">
        <f aca="false">Calculations!K13</f>
        <v>19</v>
      </c>
      <c r="R13" s="2" t="str">
        <f aca="false">IF(Calculations!A13,Settings!$B$5,"")</f>
        <v>&amp;</v>
      </c>
      <c r="S13" s="2" t="str">
        <f aca="false">Calculations!L13</f>
        <v>Fr</v>
      </c>
      <c r="T13" s="2" t="str">
        <f aca="false">IF(Calculations!A13,Settings!$B$5,"")</f>
        <v>&amp;</v>
      </c>
      <c r="U13" s="2" t="n">
        <f aca="false">Calculations!M13</f>
        <v>20</v>
      </c>
      <c r="V13" s="2" t="str">
        <f aca="false">IF(Calculations!A13,Settings!$B$5,"")</f>
        <v>&amp;</v>
      </c>
      <c r="W13" s="2" t="str">
        <f aca="false">Calculations!N13</f>
        <v>Electric Charge, Force, and Field</v>
      </c>
      <c r="X13" s="2" t="str">
        <f aca="false">Calculations!O13</f>
        <v>\\</v>
      </c>
      <c r="Y13" s="2" t="str">
        <f aca="false">IF(Calculations!P13="","",Calculations!P13)</f>
        <v>\hline</v>
      </c>
    </row>
    <row r="14" customFormat="false" ht="13.7" hidden="false" customHeight="true" outlineLevel="0" collapsed="false">
      <c r="A14" s="17" t="s">
        <v>28</v>
      </c>
      <c r="C14" s="2" t="str">
        <f aca="false">IF(Calculations!A14,Dates!D14,"")</f>
        <v>W05</v>
      </c>
      <c r="D14" s="2" t="n">
        <f aca="false">IF(Calculations!A14,1,"")</f>
        <v>1</v>
      </c>
      <c r="E14" s="2" t="n">
        <f aca="false">IF(Calculations!A14,Dates!I14,"")</f>
        <v>2</v>
      </c>
      <c r="F14" s="2" t="str">
        <f aca="false">IF(Calculations!A14,Dates!J14,"")</f>
        <v>Feb</v>
      </c>
      <c r="G14" s="11" t="n">
        <f aca="false">IF(Calculations!A14,Dates!K14,"")</f>
        <v>22</v>
      </c>
      <c r="H14" s="2" t="str">
        <f aca="false">IF(Calculations!A14,Dates!H14,"")</f>
        <v>Mo</v>
      </c>
      <c r="I14" s="12" t="n">
        <v>21</v>
      </c>
      <c r="J14" s="12" t="s">
        <v>29</v>
      </c>
      <c r="K14" s="2" t="n">
        <f aca="false">IF(ISNUMBER(I14),1,0)</f>
        <v>1</v>
      </c>
      <c r="M14" s="2" t="str">
        <f aca="false">Calculations!I14</f>
        <v>\multirow{3}{*}{W05}</v>
      </c>
      <c r="N14" s="2" t="str">
        <f aca="false">IF(Calculations!A14,Settings!$B$5,"")</f>
        <v>&amp;</v>
      </c>
      <c r="O14" s="2" t="str">
        <f aca="false">Calculations!J14</f>
        <v>\multirow{3}{*}{Feb}</v>
      </c>
      <c r="P14" s="2" t="str">
        <f aca="false">IF(Calculations!A14,Settings!$B$5,"")</f>
        <v>&amp;</v>
      </c>
      <c r="Q14" s="2" t="str">
        <f aca="false">Calculations!K14</f>
        <v>22</v>
      </c>
      <c r="R14" s="2" t="str">
        <f aca="false">IF(Calculations!A14,Settings!$B$5,"")</f>
        <v>&amp;</v>
      </c>
      <c r="S14" s="2" t="str">
        <f aca="false">Calculations!L14</f>
        <v>Mo\rule{0pt}{11pt}</v>
      </c>
      <c r="T14" s="2" t="str">
        <f aca="false">IF(Calculations!A14,Settings!$B$5,"")</f>
        <v>&amp;</v>
      </c>
      <c r="U14" s="2" t="n">
        <f aca="false">Calculations!M14</f>
        <v>21</v>
      </c>
      <c r="V14" s="2" t="str">
        <f aca="false">IF(Calculations!A14,Settings!$B$5,"")</f>
        <v>&amp;</v>
      </c>
      <c r="W14" s="2" t="str">
        <f aca="false">Calculations!N14</f>
        <v>Gauss’s Law</v>
      </c>
      <c r="X14" s="2" t="str">
        <f aca="false">Calculations!O14</f>
        <v>\\*</v>
      </c>
      <c r="Y14" s="2" t="str">
        <f aca="false">IF(Calculations!P14="","",Calculations!P14)</f>
        <v/>
      </c>
    </row>
    <row r="15" customFormat="false" ht="13.8" hidden="false" customHeight="false" outlineLevel="0" collapsed="false">
      <c r="C15" s="2" t="str">
        <f aca="false">IF(Calculations!A15,Dates!D15,"")</f>
        <v/>
      </c>
      <c r="D15" s="2" t="n">
        <f aca="false">IF(Calculations!A15,1,"")</f>
        <v>1</v>
      </c>
      <c r="E15" s="2" t="n">
        <f aca="false">IF(Calculations!A15,Dates!I15,"")</f>
        <v>2</v>
      </c>
      <c r="F15" s="2" t="str">
        <f aca="false">IF(Calculations!A15,Dates!J15,"")</f>
        <v>Feb</v>
      </c>
      <c r="G15" s="11" t="n">
        <f aca="false">IF(Calculations!A15,Dates!K15,"")</f>
        <v>24</v>
      </c>
      <c r="H15" s="2" t="str">
        <f aca="false">IF(Calculations!A15,Dates!H15,"")</f>
        <v>We</v>
      </c>
      <c r="I15" s="12" t="n">
        <v>21</v>
      </c>
      <c r="J15" s="12" t="s">
        <v>29</v>
      </c>
      <c r="K15" s="2" t="n">
        <f aca="false">IF(ISNUMBER(I15),1,0)</f>
        <v>1</v>
      </c>
      <c r="M15" s="2" t="str">
        <f aca="false">Calculations!I15</f>
        <v/>
      </c>
      <c r="N15" s="2" t="str">
        <f aca="false">IF(Calculations!A15,Settings!$B$5,"")</f>
        <v>&amp;</v>
      </c>
      <c r="O15" s="2" t="str">
        <f aca="false">Calculations!J15</f>
        <v/>
      </c>
      <c r="P15" s="2" t="str">
        <f aca="false">IF(Calculations!A15,Settings!$B$5,"")</f>
        <v>&amp;</v>
      </c>
      <c r="Q15" s="2" t="str">
        <f aca="false">Calculations!K15</f>
        <v>24</v>
      </c>
      <c r="R15" s="2" t="str">
        <f aca="false">IF(Calculations!A15,Settings!$B$5,"")</f>
        <v>&amp;</v>
      </c>
      <c r="S15" s="2" t="str">
        <f aca="false">Calculations!L15</f>
        <v>We</v>
      </c>
      <c r="T15" s="2" t="str">
        <f aca="false">IF(Calculations!A15,Settings!$B$5,"")</f>
        <v>&amp;</v>
      </c>
      <c r="U15" s="2" t="n">
        <f aca="false">Calculations!M15</f>
        <v>21</v>
      </c>
      <c r="V15" s="2" t="str">
        <f aca="false">IF(Calculations!A15,Settings!$B$5,"")</f>
        <v>&amp;</v>
      </c>
      <c r="W15" s="2" t="str">
        <f aca="false">Calculations!N15</f>
        <v>Gauss’s Law</v>
      </c>
      <c r="X15" s="2" t="str">
        <f aca="false">Calculations!O15</f>
        <v>\\*</v>
      </c>
      <c r="Y15" s="2" t="str">
        <f aca="false">IF(Calculations!P15="","",Calculations!P15)</f>
        <v/>
      </c>
    </row>
    <row r="16" customFormat="false" ht="13.8" hidden="false" customHeight="false" outlineLevel="0" collapsed="false">
      <c r="A16" s="17" t="s">
        <v>30</v>
      </c>
      <c r="C16" s="2" t="str">
        <f aca="false">IF(Calculations!A16,Dates!D16,"")</f>
        <v/>
      </c>
      <c r="D16" s="2" t="n">
        <f aca="false">IF(Calculations!A16,1,"")</f>
        <v>1</v>
      </c>
      <c r="E16" s="2" t="n">
        <f aca="false">IF(Calculations!A16,Dates!I16,"")</f>
        <v>2</v>
      </c>
      <c r="F16" s="2" t="str">
        <f aca="false">IF(Calculations!A16,Dates!J16,"")</f>
        <v>Feb</v>
      </c>
      <c r="G16" s="11" t="n">
        <f aca="false">IF(Calculations!A16,Dates!K16,"")</f>
        <v>26</v>
      </c>
      <c r="H16" s="2" t="str">
        <f aca="false">IF(Calculations!A16,Dates!H16,"")</f>
        <v>Fr</v>
      </c>
      <c r="I16" s="20" t="s">
        <v>31</v>
      </c>
      <c r="J16" s="20"/>
      <c r="K16" s="2" t="n">
        <f aca="false">IF(ISNUMBER(I16),1,0)</f>
        <v>0</v>
      </c>
      <c r="M16" s="2" t="str">
        <f aca="false">Calculations!I16</f>
        <v/>
      </c>
      <c r="N16" s="2" t="str">
        <f aca="false">IF(Calculations!A16,Settings!$B$5,"")</f>
        <v>&amp;</v>
      </c>
      <c r="O16" s="2" t="str">
        <f aca="false">Calculations!J16</f>
        <v/>
      </c>
      <c r="P16" s="2" t="str">
        <f aca="false">IF(Calculations!A16,Settings!$B$5,"")</f>
        <v>&amp;</v>
      </c>
      <c r="Q16" s="2" t="str">
        <f aca="false">Calculations!K16</f>
        <v>26</v>
      </c>
      <c r="R16" s="2" t="str">
        <f aca="false">IF(Calculations!A16,Settings!$B$5,"")</f>
        <v>&amp;</v>
      </c>
      <c r="S16" s="2" t="str">
        <f aca="false">Calculations!L16</f>
        <v>Fr</v>
      </c>
      <c r="T16" s="2" t="str">
        <f aca="false">IF(Calculations!A16,Settings!$B$5,"")</f>
        <v>&amp;</v>
      </c>
      <c r="U16" s="2" t="str">
        <f aca="false">Calculations!M16</f>
        <v>\textbf{Midterm 1}</v>
      </c>
      <c r="V16" s="2" t="str">
        <f aca="false">IF(Calculations!A16,Settings!$B$5,"")</f>
        <v>&amp;</v>
      </c>
      <c r="W16" s="2" t="str">
        <f aca="false">Calculations!N16</f>
        <v/>
      </c>
      <c r="X16" s="2" t="str">
        <f aca="false">Calculations!O16</f>
        <v>\\</v>
      </c>
      <c r="Y16" s="2" t="str">
        <f aca="false">IF(Calculations!P16="","",Calculations!P16)</f>
        <v>\hline</v>
      </c>
    </row>
    <row r="17" customFormat="false" ht="13.7" hidden="false" customHeight="true" outlineLevel="0" collapsed="false">
      <c r="A17" s="17" t="s">
        <v>32</v>
      </c>
      <c r="B17" s="21" t="n">
        <f aca="false">COUNT(I2:I261)</f>
        <v>40</v>
      </c>
      <c r="C17" s="2" t="str">
        <f aca="false">IF(Calculations!A17,Dates!D17,"")</f>
        <v>W06</v>
      </c>
      <c r="D17" s="2" t="n">
        <f aca="false">IF(Calculations!A17,1,"")</f>
        <v>1</v>
      </c>
      <c r="E17" s="2" t="n">
        <f aca="false">IF(Calculations!A17,Dates!I17,"")</f>
        <v>3</v>
      </c>
      <c r="F17" s="2" t="str">
        <f aca="false">IF(Calculations!A17,Dates!J17,"")</f>
        <v>Mar</v>
      </c>
      <c r="G17" s="11" t="n">
        <f aca="false">IF(Calculations!A17,Dates!K17,"")</f>
        <v>1</v>
      </c>
      <c r="H17" s="2" t="str">
        <f aca="false">IF(Calculations!A17,Dates!H17,"")</f>
        <v>Mo</v>
      </c>
      <c r="I17" s="12" t="n">
        <v>21</v>
      </c>
      <c r="J17" s="12" t="s">
        <v>29</v>
      </c>
      <c r="K17" s="2" t="n">
        <f aca="false">IF(ISNUMBER(I17),1,0)</f>
        <v>1</v>
      </c>
      <c r="M17" s="2" t="str">
        <f aca="false">Calculations!I17</f>
        <v>\multirow{3}{*}{W06}</v>
      </c>
      <c r="N17" s="2" t="str">
        <f aca="false">IF(Calculations!A17,Settings!$B$5,"")</f>
        <v>&amp;</v>
      </c>
      <c r="O17" s="2" t="str">
        <f aca="false">Calculations!J17</f>
        <v>\multirow{3}{*}{Mar}</v>
      </c>
      <c r="P17" s="2" t="str">
        <f aca="false">IF(Calculations!A17,Settings!$B$5,"")</f>
        <v>&amp;</v>
      </c>
      <c r="Q17" s="2" t="str">
        <f aca="false">Calculations!K17</f>
        <v>01</v>
      </c>
      <c r="R17" s="2" t="str">
        <f aca="false">IF(Calculations!A17,Settings!$B$5,"")</f>
        <v>&amp;</v>
      </c>
      <c r="S17" s="2" t="str">
        <f aca="false">Calculations!L17</f>
        <v>Mo\rule{0pt}{11pt}</v>
      </c>
      <c r="T17" s="2" t="str">
        <f aca="false">IF(Calculations!A17,Settings!$B$5,"")</f>
        <v>&amp;</v>
      </c>
      <c r="U17" s="2" t="n">
        <f aca="false">Calculations!M17</f>
        <v>21</v>
      </c>
      <c r="V17" s="2" t="str">
        <f aca="false">IF(Calculations!A17,Settings!$B$5,"")</f>
        <v>&amp;</v>
      </c>
      <c r="W17" s="2" t="str">
        <f aca="false">Calculations!N17</f>
        <v>Gauss’s Law</v>
      </c>
      <c r="X17" s="2" t="str">
        <f aca="false">Calculations!O17</f>
        <v>\\*</v>
      </c>
      <c r="Y17" s="2" t="str">
        <f aca="false">IF(Calculations!P17="","",Calculations!P17)</f>
        <v/>
      </c>
    </row>
    <row r="18" customFormat="false" ht="13.8" hidden="false" customHeight="false" outlineLevel="0" collapsed="false">
      <c r="A18" s="17" t="s">
        <v>33</v>
      </c>
      <c r="C18" s="2" t="str">
        <f aca="false">IF(Calculations!A18,Dates!D18,"")</f>
        <v/>
      </c>
      <c r="D18" s="2" t="n">
        <f aca="false">IF(Calculations!A18,1,"")</f>
        <v>1</v>
      </c>
      <c r="E18" s="2" t="n">
        <f aca="false">IF(Calculations!A18,Dates!I18,"")</f>
        <v>3</v>
      </c>
      <c r="F18" s="2" t="str">
        <f aca="false">IF(Calculations!A18,Dates!J18,"")</f>
        <v>Mar</v>
      </c>
      <c r="G18" s="11" t="n">
        <f aca="false">IF(Calculations!A18,Dates!K18,"")</f>
        <v>3</v>
      </c>
      <c r="H18" s="2" t="str">
        <f aca="false">IF(Calculations!A18,Dates!H18,"")</f>
        <v>We</v>
      </c>
      <c r="I18" s="12" t="n">
        <v>22</v>
      </c>
      <c r="J18" s="12" t="s">
        <v>34</v>
      </c>
      <c r="K18" s="2" t="n">
        <f aca="false">IF(ISNUMBER(I18),1,0)</f>
        <v>1</v>
      </c>
      <c r="M18" s="2" t="str">
        <f aca="false">Calculations!I18</f>
        <v/>
      </c>
      <c r="N18" s="2" t="str">
        <f aca="false">IF(Calculations!A18,Settings!$B$5,"")</f>
        <v>&amp;</v>
      </c>
      <c r="O18" s="2" t="str">
        <f aca="false">Calculations!J18</f>
        <v/>
      </c>
      <c r="P18" s="2" t="str">
        <f aca="false">IF(Calculations!A18,Settings!$B$5,"")</f>
        <v>&amp;</v>
      </c>
      <c r="Q18" s="2" t="str">
        <f aca="false">Calculations!K18</f>
        <v>03</v>
      </c>
      <c r="R18" s="2" t="str">
        <f aca="false">IF(Calculations!A18,Settings!$B$5,"")</f>
        <v>&amp;</v>
      </c>
      <c r="S18" s="2" t="str">
        <f aca="false">Calculations!L18</f>
        <v>We</v>
      </c>
      <c r="T18" s="2" t="str">
        <f aca="false">IF(Calculations!A18,Settings!$B$5,"")</f>
        <v>&amp;</v>
      </c>
      <c r="U18" s="2" t="n">
        <f aca="false">Calculations!M18</f>
        <v>22</v>
      </c>
      <c r="V18" s="2" t="str">
        <f aca="false">IF(Calculations!A18,Settings!$B$5,"")</f>
        <v>&amp;</v>
      </c>
      <c r="W18" s="2" t="str">
        <f aca="false">Calculations!N18</f>
        <v>Electric Potential  </v>
      </c>
      <c r="X18" s="2" t="str">
        <f aca="false">Calculations!O18</f>
        <v>\\*</v>
      </c>
      <c r="Y18" s="2" t="str">
        <f aca="false">IF(Calculations!P18="","",Calculations!P18)</f>
        <v/>
      </c>
    </row>
    <row r="19" customFormat="false" ht="13.8" hidden="false" customHeight="false" outlineLevel="0" collapsed="false">
      <c r="C19" s="2" t="str">
        <f aca="false">IF(Calculations!A19,Dates!D19,"")</f>
        <v/>
      </c>
      <c r="D19" s="2" t="n">
        <f aca="false">IF(Calculations!A19,1,"")</f>
        <v>1</v>
      </c>
      <c r="E19" s="2" t="n">
        <f aca="false">IF(Calculations!A19,Dates!I19,"")</f>
        <v>3</v>
      </c>
      <c r="F19" s="2" t="str">
        <f aca="false">IF(Calculations!A19,Dates!J19,"")</f>
        <v>Mar</v>
      </c>
      <c r="G19" s="11" t="n">
        <f aca="false">IF(Calculations!A19,Dates!K19,"")</f>
        <v>5</v>
      </c>
      <c r="H19" s="2" t="str">
        <f aca="false">IF(Calculations!A19,Dates!H19,"")</f>
        <v>Fr</v>
      </c>
      <c r="I19" s="12" t="n">
        <v>22</v>
      </c>
      <c r="J19" s="12" t="s">
        <v>34</v>
      </c>
      <c r="K19" s="2" t="n">
        <f aca="false">IF(ISNUMBER(I19),1,0)</f>
        <v>1</v>
      </c>
      <c r="M19" s="2" t="str">
        <f aca="false">Calculations!I19</f>
        <v/>
      </c>
      <c r="N19" s="2" t="str">
        <f aca="false">IF(Calculations!A19,Settings!$B$5,"")</f>
        <v>&amp;</v>
      </c>
      <c r="O19" s="2" t="str">
        <f aca="false">Calculations!J19</f>
        <v/>
      </c>
      <c r="P19" s="2" t="str">
        <f aca="false">IF(Calculations!A19,Settings!$B$5,"")</f>
        <v>&amp;</v>
      </c>
      <c r="Q19" s="2" t="str">
        <f aca="false">Calculations!K19</f>
        <v>05</v>
      </c>
      <c r="R19" s="2" t="str">
        <f aca="false">IF(Calculations!A19,Settings!$B$5,"")</f>
        <v>&amp;</v>
      </c>
      <c r="S19" s="2" t="str">
        <f aca="false">Calculations!L19</f>
        <v>Fr</v>
      </c>
      <c r="T19" s="2" t="str">
        <f aca="false">IF(Calculations!A19,Settings!$B$5,"")</f>
        <v>&amp;</v>
      </c>
      <c r="U19" s="2" t="n">
        <f aca="false">Calculations!M19</f>
        <v>22</v>
      </c>
      <c r="V19" s="2" t="str">
        <f aca="false">IF(Calculations!A19,Settings!$B$5,"")</f>
        <v>&amp;</v>
      </c>
      <c r="W19" s="2" t="str">
        <f aca="false">Calculations!N19</f>
        <v>Electric Potential  </v>
      </c>
      <c r="X19" s="2" t="str">
        <f aca="false">Calculations!O19</f>
        <v>\\</v>
      </c>
      <c r="Y19" s="2" t="str">
        <f aca="false">IF(Calculations!P19="","",Calculations!P19)</f>
        <v>\hline</v>
      </c>
    </row>
    <row r="20" customFormat="false" ht="13.8" hidden="false" customHeight="false" outlineLevel="0" collapsed="false">
      <c r="A20" s="14" t="s">
        <v>35</v>
      </c>
      <c r="B20" s="14"/>
      <c r="C20" s="2" t="str">
        <f aca="false">IF(Calculations!A20,Dates!D20,"")</f>
        <v>W07</v>
      </c>
      <c r="D20" s="2" t="n">
        <f aca="false">IF(Calculations!A20,1,"")</f>
        <v>1</v>
      </c>
      <c r="E20" s="2" t="n">
        <f aca="false">IF(Calculations!A20,Dates!I20,"")</f>
        <v>3</v>
      </c>
      <c r="F20" s="2" t="str">
        <f aca="false">IF(Calculations!A20,Dates!J20,"")</f>
        <v>Mar</v>
      </c>
      <c r="G20" s="11" t="n">
        <f aca="false">IF(Calculations!A20,Dates!K20,"")</f>
        <v>8</v>
      </c>
      <c r="H20" s="2" t="str">
        <f aca="false">IF(Calculations!A20,Dates!H20,"")</f>
        <v>Mo</v>
      </c>
      <c r="I20" s="12" t="n">
        <v>23</v>
      </c>
      <c r="J20" s="12" t="s">
        <v>36</v>
      </c>
      <c r="K20" s="2" t="n">
        <f aca="false">IF(ISNUMBER(I20),1,0)</f>
        <v>1</v>
      </c>
      <c r="M20" s="2" t="str">
        <f aca="false">Calculations!I20</f>
        <v>\multirow{3}{*}{W07}</v>
      </c>
      <c r="N20" s="2" t="str">
        <f aca="false">IF(Calculations!A20,Settings!$B$5,"")</f>
        <v>&amp;</v>
      </c>
      <c r="O20" s="2" t="str">
        <f aca="false">Calculations!J20</f>
        <v>\multirow{3}{*}{Mar}</v>
      </c>
      <c r="P20" s="2" t="str">
        <f aca="false">IF(Calculations!A20,Settings!$B$5,"")</f>
        <v>&amp;</v>
      </c>
      <c r="Q20" s="2" t="str">
        <f aca="false">Calculations!K20</f>
        <v>08</v>
      </c>
      <c r="R20" s="2" t="str">
        <f aca="false">IF(Calculations!A20,Settings!$B$5,"")</f>
        <v>&amp;</v>
      </c>
      <c r="S20" s="2" t="str">
        <f aca="false">Calculations!L20</f>
        <v>Mo\rule{0pt}{11pt}</v>
      </c>
      <c r="T20" s="2" t="str">
        <f aca="false">IF(Calculations!A20,Settings!$B$5,"")</f>
        <v>&amp;</v>
      </c>
      <c r="U20" s="2" t="n">
        <f aca="false">Calculations!M20</f>
        <v>23</v>
      </c>
      <c r="V20" s="2" t="str">
        <f aca="false">IF(Calculations!A20,Settings!$B$5,"")</f>
        <v>&amp;</v>
      </c>
      <c r="W20" s="2" t="str">
        <f aca="false">Calculations!N20</f>
        <v>Electrostatic Energy and Capacitors </v>
      </c>
      <c r="X20" s="2" t="str">
        <f aca="false">Calculations!O20</f>
        <v>\\*</v>
      </c>
      <c r="Y20" s="2" t="str">
        <f aca="false">IF(Calculations!P20="","",Calculations!P20)</f>
        <v/>
      </c>
    </row>
    <row r="21" customFormat="false" ht="13.8" hidden="false" customHeight="false" outlineLevel="0" collapsed="false">
      <c r="A21" s="14" t="s">
        <v>37</v>
      </c>
      <c r="B21" s="14"/>
      <c r="C21" s="2" t="str">
        <f aca="false">IF(Calculations!A21,Dates!D21,"")</f>
        <v/>
      </c>
      <c r="D21" s="2" t="n">
        <f aca="false">IF(Calculations!A21,1,"")</f>
        <v>1</v>
      </c>
      <c r="E21" s="2" t="n">
        <f aca="false">IF(Calculations!A21,Dates!I21,"")</f>
        <v>3</v>
      </c>
      <c r="F21" s="2" t="str">
        <f aca="false">IF(Calculations!A21,Dates!J21,"")</f>
        <v>Mar</v>
      </c>
      <c r="G21" s="11" t="n">
        <f aca="false">IF(Calculations!A21,Dates!K21,"")</f>
        <v>10</v>
      </c>
      <c r="H21" s="2" t="str">
        <f aca="false">IF(Calculations!A21,Dates!H21,"")</f>
        <v>We</v>
      </c>
      <c r="I21" s="12" t="n">
        <v>23</v>
      </c>
      <c r="J21" s="12" t="s">
        <v>36</v>
      </c>
      <c r="K21" s="2" t="n">
        <f aca="false">IF(ISNUMBER(I21),1,0)</f>
        <v>1</v>
      </c>
      <c r="M21" s="2" t="str">
        <f aca="false">Calculations!I21</f>
        <v/>
      </c>
      <c r="N21" s="2" t="str">
        <f aca="false">IF(Calculations!A21,Settings!$B$5,"")</f>
        <v>&amp;</v>
      </c>
      <c r="O21" s="2" t="str">
        <f aca="false">Calculations!J21</f>
        <v/>
      </c>
      <c r="P21" s="2" t="str">
        <f aca="false">IF(Calculations!A21,Settings!$B$5,"")</f>
        <v>&amp;</v>
      </c>
      <c r="Q21" s="2" t="str">
        <f aca="false">Calculations!K21</f>
        <v>10</v>
      </c>
      <c r="R21" s="2" t="str">
        <f aca="false">IF(Calculations!A21,Settings!$B$5,"")</f>
        <v>&amp;</v>
      </c>
      <c r="S21" s="2" t="str">
        <f aca="false">Calculations!L21</f>
        <v>We</v>
      </c>
      <c r="T21" s="2" t="str">
        <f aca="false">IF(Calculations!A21,Settings!$B$5,"")</f>
        <v>&amp;</v>
      </c>
      <c r="U21" s="2" t="n">
        <f aca="false">Calculations!M21</f>
        <v>23</v>
      </c>
      <c r="V21" s="2" t="str">
        <f aca="false">IF(Calculations!A21,Settings!$B$5,"")</f>
        <v>&amp;</v>
      </c>
      <c r="W21" s="2" t="str">
        <f aca="false">Calculations!N21</f>
        <v>Electrostatic Energy and Capacitors </v>
      </c>
      <c r="X21" s="2" t="str">
        <f aca="false">Calculations!O21</f>
        <v>\\*</v>
      </c>
      <c r="Y21" s="2" t="str">
        <f aca="false">IF(Calculations!P21="","",Calculations!P21)</f>
        <v/>
      </c>
    </row>
    <row r="22" customFormat="false" ht="15.65" hidden="false" customHeight="true" outlineLevel="0" collapsed="false">
      <c r="A22" s="22" t="s">
        <v>38</v>
      </c>
      <c r="B22" s="22" t="s">
        <v>38</v>
      </c>
      <c r="C22" s="2" t="str">
        <f aca="false">IF(Calculations!A22,Dates!D22,"")</f>
        <v/>
      </c>
      <c r="D22" s="2" t="n">
        <f aca="false">IF(Calculations!A22,1,"")</f>
        <v>1</v>
      </c>
      <c r="E22" s="2" t="n">
        <f aca="false">IF(Calculations!A22,Dates!I22,"")</f>
        <v>3</v>
      </c>
      <c r="F22" s="2" t="str">
        <f aca="false">IF(Calculations!A22,Dates!J22,"")</f>
        <v>Mar</v>
      </c>
      <c r="G22" s="11" t="n">
        <f aca="false">IF(Calculations!A22,Dates!K22,"")</f>
        <v>12</v>
      </c>
      <c r="H22" s="2" t="str">
        <f aca="false">IF(Calculations!A22,Dates!H22,"")</f>
        <v>Fr</v>
      </c>
      <c r="I22" s="12" t="n">
        <v>24</v>
      </c>
      <c r="J22" s="12" t="s">
        <v>39</v>
      </c>
      <c r="K22" s="2" t="n">
        <f aca="false">IF(ISNUMBER(I22),1,0)</f>
        <v>1</v>
      </c>
      <c r="M22" s="2" t="str">
        <f aca="false">Calculations!I22</f>
        <v/>
      </c>
      <c r="N22" s="2" t="str">
        <f aca="false">IF(Calculations!A22,Settings!$B$5,"")</f>
        <v>&amp;</v>
      </c>
      <c r="O22" s="2" t="str">
        <f aca="false">Calculations!J22</f>
        <v/>
      </c>
      <c r="P22" s="2" t="str">
        <f aca="false">IF(Calculations!A22,Settings!$B$5,"")</f>
        <v>&amp;</v>
      </c>
      <c r="Q22" s="2" t="str">
        <f aca="false">Calculations!K22</f>
        <v>12</v>
      </c>
      <c r="R22" s="2" t="str">
        <f aca="false">IF(Calculations!A22,Settings!$B$5,"")</f>
        <v>&amp;</v>
      </c>
      <c r="S22" s="2" t="str">
        <f aca="false">Calculations!L22</f>
        <v>Fr</v>
      </c>
      <c r="T22" s="2" t="str">
        <f aca="false">IF(Calculations!A22,Settings!$B$5,"")</f>
        <v>&amp;</v>
      </c>
      <c r="U22" s="2" t="n">
        <f aca="false">Calculations!M22</f>
        <v>24</v>
      </c>
      <c r="V22" s="2" t="str">
        <f aca="false">IF(Calculations!A22,Settings!$B$5,"")</f>
        <v>&amp;</v>
      </c>
      <c r="W22" s="2" t="str">
        <f aca="false">Calculations!N22</f>
        <v>Electric Current </v>
      </c>
      <c r="X22" s="2" t="str">
        <f aca="false">Calculations!O22</f>
        <v>\\</v>
      </c>
      <c r="Y22" s="2" t="str">
        <f aca="false">IF(Calculations!P22="","",Calculations!P22)</f>
        <v>\hline</v>
      </c>
    </row>
    <row r="23" customFormat="false" ht="13.8" hidden="false" customHeight="false" outlineLevel="0" collapsed="false">
      <c r="A23" s="23"/>
      <c r="B23" s="23"/>
      <c r="C23" s="2" t="str">
        <f aca="false">IF(Calculations!A23,Dates!D23,"")</f>
        <v>W08</v>
      </c>
      <c r="D23" s="2" t="n">
        <f aca="false">IF(Calculations!A23,1,"")</f>
        <v>1</v>
      </c>
      <c r="E23" s="2" t="n">
        <f aca="false">IF(Calculations!A23,Dates!I23,"")</f>
        <v>3</v>
      </c>
      <c r="F23" s="2" t="str">
        <f aca="false">IF(Calculations!A23,Dates!J23,"")</f>
        <v>Mar</v>
      </c>
      <c r="G23" s="11" t="n">
        <f aca="false">IF(Calculations!A23,Dates!K23,"")</f>
        <v>15</v>
      </c>
      <c r="H23" s="2" t="str">
        <f aca="false">IF(Calculations!A23,Dates!H23,"")</f>
        <v>Mo</v>
      </c>
      <c r="I23" s="12" t="s">
        <v>23</v>
      </c>
      <c r="J23" s="12" t="s">
        <v>19</v>
      </c>
      <c r="K23" s="2" t="n">
        <f aca="false">IF(ISNUMBER(I23),1,0)</f>
        <v>0</v>
      </c>
      <c r="M23" s="2" t="str">
        <f aca="false">Calculations!I23</f>
        <v>\multirow{3}{*}{W08}</v>
      </c>
      <c r="N23" s="2" t="str">
        <f aca="false">IF(Calculations!A23,Settings!$B$5,"")</f>
        <v>&amp;</v>
      </c>
      <c r="O23" s="2" t="str">
        <f aca="false">Calculations!J23</f>
        <v>\multirow{3}{*}{Mar}</v>
      </c>
      <c r="P23" s="2" t="str">
        <f aca="false">IF(Calculations!A23,Settings!$B$5,"")</f>
        <v>&amp;</v>
      </c>
      <c r="Q23" s="2" t="str">
        <f aca="false">Calculations!K23</f>
        <v>15</v>
      </c>
      <c r="R23" s="2" t="str">
        <f aca="false">IF(Calculations!A23,Settings!$B$5,"")</f>
        <v>&amp;</v>
      </c>
      <c r="S23" s="2" t="str">
        <f aca="false">Calculations!L23</f>
        <v>Mo\rule{0pt}{11pt}</v>
      </c>
      <c r="T23" s="2" t="str">
        <f aca="false">IF(Calculations!A23,Settings!$B$5,"")</f>
        <v>&amp;</v>
      </c>
      <c r="U23" s="2" t="str">
        <f aca="false">Calculations!M23</f>
        <v>No class</v>
      </c>
      <c r="V23" s="2" t="str">
        <f aca="false">IF(Calculations!A23,Settings!$B$5,"")</f>
        <v>&amp;</v>
      </c>
      <c r="W23" s="2" t="str">
        <f aca="false">Calculations!N23</f>
        <v>Spring Vacation</v>
      </c>
      <c r="X23" s="2" t="str">
        <f aca="false">Calculations!O23</f>
        <v>\\*</v>
      </c>
      <c r="Y23" s="2" t="str">
        <f aca="false">IF(Calculations!P23="","",Calculations!P23)</f>
        <v/>
      </c>
    </row>
    <row r="24" customFormat="false" ht="13.8" hidden="false" customHeight="false" outlineLevel="0" collapsed="false">
      <c r="A24" s="24"/>
      <c r="B24" s="23"/>
      <c r="C24" s="2" t="str">
        <f aca="false">IF(Calculations!A24,Dates!D24,"")</f>
        <v/>
      </c>
      <c r="D24" s="2" t="n">
        <f aca="false">IF(Calculations!A24,1,"")</f>
        <v>1</v>
      </c>
      <c r="E24" s="2" t="n">
        <f aca="false">IF(Calculations!A24,Dates!I24,"")</f>
        <v>3</v>
      </c>
      <c r="F24" s="2" t="str">
        <f aca="false">IF(Calculations!A24,Dates!J24,"")</f>
        <v>Mar</v>
      </c>
      <c r="G24" s="11" t="n">
        <f aca="false">IF(Calculations!A24,Dates!K24,"")</f>
        <v>17</v>
      </c>
      <c r="H24" s="2" t="str">
        <f aca="false">IF(Calculations!A24,Dates!H24,"")</f>
        <v>We</v>
      </c>
      <c r="I24" s="12" t="s">
        <v>23</v>
      </c>
      <c r="J24" s="12" t="s">
        <v>19</v>
      </c>
      <c r="K24" s="2" t="n">
        <f aca="false">IF(ISNUMBER(I24),1,0)</f>
        <v>0</v>
      </c>
      <c r="M24" s="2" t="str">
        <f aca="false">Calculations!I24</f>
        <v/>
      </c>
      <c r="N24" s="2" t="str">
        <f aca="false">IF(Calculations!A24,Settings!$B$5,"")</f>
        <v>&amp;</v>
      </c>
      <c r="O24" s="2" t="str">
        <f aca="false">Calculations!J24</f>
        <v/>
      </c>
      <c r="P24" s="2" t="str">
        <f aca="false">IF(Calculations!A24,Settings!$B$5,"")</f>
        <v>&amp;</v>
      </c>
      <c r="Q24" s="2" t="str">
        <f aca="false">Calculations!K24</f>
        <v>17</v>
      </c>
      <c r="R24" s="2" t="str">
        <f aca="false">IF(Calculations!A24,Settings!$B$5,"")</f>
        <v>&amp;</v>
      </c>
      <c r="S24" s="2" t="str">
        <f aca="false">Calculations!L24</f>
        <v>We</v>
      </c>
      <c r="T24" s="2" t="str">
        <f aca="false">IF(Calculations!A24,Settings!$B$5,"")</f>
        <v>&amp;</v>
      </c>
      <c r="U24" s="2" t="str">
        <f aca="false">Calculations!M24</f>
        <v>No class</v>
      </c>
      <c r="V24" s="2" t="str">
        <f aca="false">IF(Calculations!A24,Settings!$B$5,"")</f>
        <v>&amp;</v>
      </c>
      <c r="W24" s="2" t="str">
        <f aca="false">Calculations!N24</f>
        <v>Spring Vacation</v>
      </c>
      <c r="X24" s="2" t="str">
        <f aca="false">Calculations!O24</f>
        <v>\\*</v>
      </c>
      <c r="Y24" s="2" t="str">
        <f aca="false">IF(Calculations!P24="","",Calculations!P24)</f>
        <v/>
      </c>
    </row>
    <row r="25" customFormat="false" ht="13.8" hidden="false" customHeight="false" outlineLevel="0" collapsed="false">
      <c r="A25" s="23"/>
      <c r="B25" s="23"/>
      <c r="C25" s="2" t="str">
        <f aca="false">IF(Calculations!A25,Dates!D25,"")</f>
        <v/>
      </c>
      <c r="D25" s="2" t="n">
        <f aca="false">IF(Calculations!A25,1,"")</f>
        <v>1</v>
      </c>
      <c r="E25" s="2" t="n">
        <f aca="false">IF(Calculations!A25,Dates!I25,"")</f>
        <v>3</v>
      </c>
      <c r="F25" s="2" t="str">
        <f aca="false">IF(Calculations!A25,Dates!J25,"")</f>
        <v>Mar</v>
      </c>
      <c r="G25" s="11" t="n">
        <f aca="false">IF(Calculations!A25,Dates!K25,"")</f>
        <v>19</v>
      </c>
      <c r="H25" s="2" t="str">
        <f aca="false">IF(Calculations!A25,Dates!H25,"")</f>
        <v>Fr</v>
      </c>
      <c r="I25" s="12" t="s">
        <v>23</v>
      </c>
      <c r="J25" s="12" t="s">
        <v>19</v>
      </c>
      <c r="K25" s="2" t="n">
        <f aca="false">IF(ISNUMBER(I25),1,0)</f>
        <v>0</v>
      </c>
      <c r="M25" s="2" t="str">
        <f aca="false">Calculations!I25</f>
        <v/>
      </c>
      <c r="N25" s="2" t="str">
        <f aca="false">IF(Calculations!A25,Settings!$B$5,"")</f>
        <v>&amp;</v>
      </c>
      <c r="O25" s="2" t="str">
        <f aca="false">Calculations!J25</f>
        <v/>
      </c>
      <c r="P25" s="2" t="str">
        <f aca="false">IF(Calculations!A25,Settings!$B$5,"")</f>
        <v>&amp;</v>
      </c>
      <c r="Q25" s="2" t="str">
        <f aca="false">Calculations!K25</f>
        <v>19</v>
      </c>
      <c r="R25" s="2" t="str">
        <f aca="false">IF(Calculations!A25,Settings!$B$5,"")</f>
        <v>&amp;</v>
      </c>
      <c r="S25" s="2" t="str">
        <f aca="false">Calculations!L25</f>
        <v>Fr</v>
      </c>
      <c r="T25" s="2" t="str">
        <f aca="false">IF(Calculations!A25,Settings!$B$5,"")</f>
        <v>&amp;</v>
      </c>
      <c r="U25" s="2" t="str">
        <f aca="false">Calculations!M25</f>
        <v>No class</v>
      </c>
      <c r="V25" s="2" t="str">
        <f aca="false">IF(Calculations!A25,Settings!$B$5,"")</f>
        <v>&amp;</v>
      </c>
      <c r="W25" s="2" t="str">
        <f aca="false">Calculations!N25</f>
        <v>Spring Vacation</v>
      </c>
      <c r="X25" s="2" t="str">
        <f aca="false">Calculations!O25</f>
        <v>\\</v>
      </c>
      <c r="Y25" s="2" t="str">
        <f aca="false">IF(Calculations!P25="","",Calculations!P25)</f>
        <v>\hline</v>
      </c>
    </row>
    <row r="26" customFormat="false" ht="13.8" hidden="false" customHeight="false" outlineLevel="0" collapsed="false">
      <c r="A26" s="23"/>
      <c r="B26" s="23"/>
      <c r="C26" s="2" t="str">
        <f aca="false">IF(Calculations!A26,Dates!D26,"")</f>
        <v>W09</v>
      </c>
      <c r="D26" s="2" t="n">
        <f aca="false">IF(Calculations!A26,1,"")</f>
        <v>1</v>
      </c>
      <c r="E26" s="2" t="n">
        <f aca="false">IF(Calculations!A26,Dates!I26,"")</f>
        <v>3</v>
      </c>
      <c r="F26" s="2" t="str">
        <f aca="false">IF(Calculations!A26,Dates!J26,"")</f>
        <v>Mar</v>
      </c>
      <c r="G26" s="11" t="n">
        <f aca="false">IF(Calculations!A26,Dates!K26,"")</f>
        <v>22</v>
      </c>
      <c r="H26" s="2" t="str">
        <f aca="false">IF(Calculations!A26,Dates!H26,"")</f>
        <v>Mo</v>
      </c>
      <c r="I26" s="12" t="n">
        <v>24</v>
      </c>
      <c r="J26" s="12" t="s">
        <v>39</v>
      </c>
      <c r="K26" s="2" t="n">
        <f aca="false">IF(ISNUMBER(I26),1,0)</f>
        <v>1</v>
      </c>
      <c r="M26" s="2" t="str">
        <f aca="false">Calculations!I26</f>
        <v>\multirow{3}{*}{W09}</v>
      </c>
      <c r="N26" s="2" t="str">
        <f aca="false">IF(Calculations!A26,Settings!$B$5,"")</f>
        <v>&amp;</v>
      </c>
      <c r="O26" s="2" t="str">
        <f aca="false">Calculations!J26</f>
        <v>\multirow{3}{*}{Mar}</v>
      </c>
      <c r="P26" s="2" t="str">
        <f aca="false">IF(Calculations!A26,Settings!$B$5,"")</f>
        <v>&amp;</v>
      </c>
      <c r="Q26" s="2" t="str">
        <f aca="false">Calculations!K26</f>
        <v>22</v>
      </c>
      <c r="R26" s="2" t="str">
        <f aca="false">IF(Calculations!A26,Settings!$B$5,"")</f>
        <v>&amp;</v>
      </c>
      <c r="S26" s="2" t="str">
        <f aca="false">Calculations!L26</f>
        <v>Mo\rule{0pt}{11pt}</v>
      </c>
      <c r="T26" s="2" t="str">
        <f aca="false">IF(Calculations!A26,Settings!$B$5,"")</f>
        <v>&amp;</v>
      </c>
      <c r="U26" s="2" t="n">
        <f aca="false">Calculations!M26</f>
        <v>24</v>
      </c>
      <c r="V26" s="2" t="str">
        <f aca="false">IF(Calculations!A26,Settings!$B$5,"")</f>
        <v>&amp;</v>
      </c>
      <c r="W26" s="2" t="str">
        <f aca="false">Calculations!N26</f>
        <v>Electric Current </v>
      </c>
      <c r="X26" s="2" t="str">
        <f aca="false">Calculations!O26</f>
        <v>\\*</v>
      </c>
      <c r="Y26" s="2" t="str">
        <f aca="false">IF(Calculations!P26="","",Calculations!P26)</f>
        <v/>
      </c>
    </row>
    <row r="27" customFormat="false" ht="13.8" hidden="false" customHeight="false" outlineLevel="0" collapsed="false">
      <c r="A27" s="23"/>
      <c r="B27" s="23"/>
      <c r="C27" s="2" t="str">
        <f aca="false">IF(Calculations!A27,Dates!D27,"")</f>
        <v/>
      </c>
      <c r="D27" s="2" t="n">
        <f aca="false">IF(Calculations!A27,1,"")</f>
        <v>1</v>
      </c>
      <c r="E27" s="2" t="n">
        <f aca="false">IF(Calculations!A27,Dates!I27,"")</f>
        <v>3</v>
      </c>
      <c r="F27" s="2" t="str">
        <f aca="false">IF(Calculations!A27,Dates!J27,"")</f>
        <v>Mar</v>
      </c>
      <c r="G27" s="11" t="n">
        <f aca="false">IF(Calculations!A27,Dates!K27,"")</f>
        <v>24</v>
      </c>
      <c r="H27" s="2" t="str">
        <f aca="false">IF(Calculations!A27,Dates!H27,"")</f>
        <v>We</v>
      </c>
      <c r="I27" s="12" t="n">
        <v>25</v>
      </c>
      <c r="J27" s="20" t="s">
        <v>40</v>
      </c>
      <c r="K27" s="2" t="n">
        <f aca="false">IF(ISNUMBER(I27),1,0)</f>
        <v>1</v>
      </c>
      <c r="M27" s="2" t="str">
        <f aca="false">Calculations!I27</f>
        <v/>
      </c>
      <c r="N27" s="2" t="str">
        <f aca="false">IF(Calculations!A27,Settings!$B$5,"")</f>
        <v>&amp;</v>
      </c>
      <c r="O27" s="2" t="str">
        <f aca="false">Calculations!J27</f>
        <v/>
      </c>
      <c r="P27" s="2" t="str">
        <f aca="false">IF(Calculations!A27,Settings!$B$5,"")</f>
        <v>&amp;</v>
      </c>
      <c r="Q27" s="2" t="str">
        <f aca="false">Calculations!K27</f>
        <v>24</v>
      </c>
      <c r="R27" s="2" t="str">
        <f aca="false">IF(Calculations!A27,Settings!$B$5,"")</f>
        <v>&amp;</v>
      </c>
      <c r="S27" s="2" t="str">
        <f aca="false">Calculations!L27</f>
        <v>We</v>
      </c>
      <c r="T27" s="2" t="str">
        <f aca="false">IF(Calculations!A27,Settings!$B$5,"")</f>
        <v>&amp;</v>
      </c>
      <c r="U27" s="2" t="n">
        <f aca="false">Calculations!M27</f>
        <v>25</v>
      </c>
      <c r="V27" s="2" t="str">
        <f aca="false">IF(Calculations!A27,Settings!$B$5,"")</f>
        <v>&amp;</v>
      </c>
      <c r="W27" s="2" t="str">
        <f aca="false">Calculations!N27</f>
        <v>Electric Circuits </v>
      </c>
      <c r="X27" s="2" t="str">
        <f aca="false">Calculations!O27</f>
        <v>\\*</v>
      </c>
      <c r="Y27" s="2" t="str">
        <f aca="false">IF(Calculations!P27="","",Calculations!P27)</f>
        <v/>
      </c>
    </row>
    <row r="28" customFormat="false" ht="13.8" hidden="false" customHeight="false" outlineLevel="0" collapsed="false">
      <c r="A28" s="23"/>
      <c r="B28" s="23"/>
      <c r="C28" s="2" t="str">
        <f aca="false">IF(Calculations!A28,Dates!D28,"")</f>
        <v/>
      </c>
      <c r="D28" s="2" t="n">
        <f aca="false">IF(Calculations!A28,1,"")</f>
        <v>1</v>
      </c>
      <c r="E28" s="2" t="n">
        <f aca="false">IF(Calculations!A28,Dates!I28,"")</f>
        <v>3</v>
      </c>
      <c r="F28" s="2" t="str">
        <f aca="false">IF(Calculations!A28,Dates!J28,"")</f>
        <v>Mar</v>
      </c>
      <c r="G28" s="11" t="n">
        <f aca="false">IF(Calculations!A28,Dates!K28,"")</f>
        <v>26</v>
      </c>
      <c r="H28" s="2" t="str">
        <f aca="false">IF(Calculations!A28,Dates!H28,"")</f>
        <v>Fr</v>
      </c>
      <c r="I28" s="12" t="n">
        <v>25</v>
      </c>
      <c r="J28" s="20" t="s">
        <v>40</v>
      </c>
      <c r="K28" s="2" t="n">
        <f aca="false">IF(ISNUMBER(I28),1,0)</f>
        <v>1</v>
      </c>
      <c r="M28" s="2" t="str">
        <f aca="false">Calculations!I28</f>
        <v/>
      </c>
      <c r="N28" s="2" t="str">
        <f aca="false">IF(Calculations!A28,Settings!$B$5,"")</f>
        <v>&amp;</v>
      </c>
      <c r="O28" s="2" t="str">
        <f aca="false">Calculations!J28</f>
        <v/>
      </c>
      <c r="P28" s="2" t="str">
        <f aca="false">IF(Calculations!A28,Settings!$B$5,"")</f>
        <v>&amp;</v>
      </c>
      <c r="Q28" s="2" t="str">
        <f aca="false">Calculations!K28</f>
        <v>26</v>
      </c>
      <c r="R28" s="2" t="str">
        <f aca="false">IF(Calculations!A28,Settings!$B$5,"")</f>
        <v>&amp;</v>
      </c>
      <c r="S28" s="2" t="str">
        <f aca="false">Calculations!L28</f>
        <v>Fr</v>
      </c>
      <c r="T28" s="2" t="str">
        <f aca="false">IF(Calculations!A28,Settings!$B$5,"")</f>
        <v>&amp;</v>
      </c>
      <c r="U28" s="2" t="n">
        <f aca="false">Calculations!M28</f>
        <v>25</v>
      </c>
      <c r="V28" s="2" t="str">
        <f aca="false">IF(Calculations!A28,Settings!$B$5,"")</f>
        <v>&amp;</v>
      </c>
      <c r="W28" s="2" t="str">
        <f aca="false">Calculations!N28</f>
        <v>Electric Circuits </v>
      </c>
      <c r="X28" s="2" t="str">
        <f aca="false">Calculations!O28</f>
        <v>\\</v>
      </c>
      <c r="Y28" s="2" t="str">
        <f aca="false">IF(Calculations!P28="","",Calculations!P28)</f>
        <v>\hline</v>
      </c>
    </row>
    <row r="29" customFormat="false" ht="13.8" hidden="false" customHeight="false" outlineLevel="0" collapsed="false">
      <c r="A29" s="23"/>
      <c r="B29" s="23"/>
      <c r="C29" s="2" t="str">
        <f aca="false">IF(Calculations!A29,Dates!D29,"")</f>
        <v>W10</v>
      </c>
      <c r="D29" s="2" t="n">
        <f aca="false">IF(Calculations!A29,1,"")</f>
        <v>1</v>
      </c>
      <c r="E29" s="2" t="n">
        <f aca="false">IF(Calculations!A29,Dates!I29,"")</f>
        <v>3</v>
      </c>
      <c r="F29" s="2" t="str">
        <f aca="false">IF(Calculations!A29,Dates!J29,"")</f>
        <v>Mar</v>
      </c>
      <c r="G29" s="11" t="n">
        <f aca="false">IF(Calculations!A29,Dates!K29,"")</f>
        <v>29</v>
      </c>
      <c r="H29" s="2" t="str">
        <f aca="false">IF(Calculations!A29,Dates!H29,"")</f>
        <v>Mo</v>
      </c>
      <c r="I29" s="12" t="n">
        <v>26</v>
      </c>
      <c r="J29" s="20" t="s">
        <v>41</v>
      </c>
      <c r="K29" s="2" t="n">
        <f aca="false">IF(ISNUMBER(I29),1,0)</f>
        <v>1</v>
      </c>
      <c r="M29" s="2" t="str">
        <f aca="false">Calculations!I29</f>
        <v>\multirow{3}{*}{W10}</v>
      </c>
      <c r="N29" s="2" t="str">
        <f aca="false">IF(Calculations!A29,Settings!$B$5,"")</f>
        <v>&amp;</v>
      </c>
      <c r="O29" s="2" t="str">
        <f aca="false">Calculations!J29</f>
        <v>\multirow{2}{*}{Mar}</v>
      </c>
      <c r="P29" s="2" t="str">
        <f aca="false">IF(Calculations!A29,Settings!$B$5,"")</f>
        <v>&amp;</v>
      </c>
      <c r="Q29" s="2" t="str">
        <f aca="false">Calculations!K29</f>
        <v>29</v>
      </c>
      <c r="R29" s="2" t="str">
        <f aca="false">IF(Calculations!A29,Settings!$B$5,"")</f>
        <v>&amp;</v>
      </c>
      <c r="S29" s="2" t="str">
        <f aca="false">Calculations!L29</f>
        <v>Mo\rule{0pt}{11pt}</v>
      </c>
      <c r="T29" s="2" t="str">
        <f aca="false">IF(Calculations!A29,Settings!$B$5,"")</f>
        <v>&amp;</v>
      </c>
      <c r="U29" s="2" t="n">
        <f aca="false">Calculations!M29</f>
        <v>26</v>
      </c>
      <c r="V29" s="2" t="str">
        <f aca="false">IF(Calculations!A29,Settings!$B$5,"")</f>
        <v>&amp;</v>
      </c>
      <c r="W29" s="2" t="str">
        <f aca="false">Calculations!N29</f>
        <v>Magnetism: Force and Field</v>
      </c>
      <c r="X29" s="2" t="str">
        <f aca="false">Calculations!O29</f>
        <v>\\*</v>
      </c>
      <c r="Y29" s="2" t="str">
        <f aca="false">IF(Calculations!P29="","",Calculations!P29)</f>
        <v/>
      </c>
    </row>
    <row r="30" customFormat="false" ht="13.8" hidden="false" customHeight="false" outlineLevel="0" collapsed="false">
      <c r="A30" s="23"/>
      <c r="B30" s="23"/>
      <c r="C30" s="2" t="str">
        <f aca="false">IF(Calculations!A30,Dates!D30,"")</f>
        <v/>
      </c>
      <c r="D30" s="2" t="n">
        <f aca="false">IF(Calculations!A30,1,"")</f>
        <v>1</v>
      </c>
      <c r="E30" s="2" t="n">
        <f aca="false">IF(Calculations!A30,Dates!I30,"")</f>
        <v>3</v>
      </c>
      <c r="F30" s="2" t="str">
        <f aca="false">IF(Calculations!A30,Dates!J30,"")</f>
        <v>Mar</v>
      </c>
      <c r="G30" s="11" t="n">
        <f aca="false">IF(Calculations!A30,Dates!K30,"")</f>
        <v>31</v>
      </c>
      <c r="H30" s="2" t="str">
        <f aca="false">IF(Calculations!A30,Dates!H30,"")</f>
        <v>We</v>
      </c>
      <c r="I30" s="12" t="n">
        <v>26</v>
      </c>
      <c r="J30" s="20" t="s">
        <v>41</v>
      </c>
      <c r="K30" s="2" t="n">
        <f aca="false">IF(ISNUMBER(I30),1,0)</f>
        <v>1</v>
      </c>
      <c r="M30" s="2" t="str">
        <f aca="false">Calculations!I30</f>
        <v/>
      </c>
      <c r="N30" s="2" t="str">
        <f aca="false">IF(Calculations!A30,Settings!$B$5,"")</f>
        <v>&amp;</v>
      </c>
      <c r="O30" s="2" t="str">
        <f aca="false">Calculations!J30</f>
        <v/>
      </c>
      <c r="P30" s="2" t="str">
        <f aca="false">IF(Calculations!A30,Settings!$B$5,"")</f>
        <v>&amp;</v>
      </c>
      <c r="Q30" s="2" t="str">
        <f aca="false">Calculations!K30</f>
        <v>31</v>
      </c>
      <c r="R30" s="2" t="str">
        <f aca="false">IF(Calculations!A30,Settings!$B$5,"")</f>
        <v>&amp;</v>
      </c>
      <c r="S30" s="2" t="str">
        <f aca="false">Calculations!L30</f>
        <v>We</v>
      </c>
      <c r="T30" s="2" t="str">
        <f aca="false">IF(Calculations!A30,Settings!$B$5,"")</f>
        <v>&amp;</v>
      </c>
      <c r="U30" s="2" t="n">
        <f aca="false">Calculations!M30</f>
        <v>26</v>
      </c>
      <c r="V30" s="2" t="str">
        <f aca="false">IF(Calculations!A30,Settings!$B$5,"")</f>
        <v>&amp;</v>
      </c>
      <c r="W30" s="2" t="str">
        <f aca="false">Calculations!N30</f>
        <v>Magnetism: Force and Field</v>
      </c>
      <c r="X30" s="2" t="str">
        <f aca="false">Calculations!O30</f>
        <v>\\*</v>
      </c>
      <c r="Y30" s="2" t="str">
        <f aca="false">IF(Calculations!P30="","",Calculations!P30)</f>
        <v/>
      </c>
    </row>
    <row r="31" customFormat="false" ht="13.8" hidden="false" customHeight="false" outlineLevel="0" collapsed="false">
      <c r="A31" s="23"/>
      <c r="B31" s="23"/>
      <c r="C31" s="2" t="str">
        <f aca="false">IF(Calculations!A31,Dates!D31,"")</f>
        <v/>
      </c>
      <c r="D31" s="2" t="n">
        <f aca="false">IF(Calculations!A31,1,"")</f>
        <v>1</v>
      </c>
      <c r="E31" s="2" t="n">
        <f aca="false">IF(Calculations!A31,Dates!I31,"")</f>
        <v>4</v>
      </c>
      <c r="F31" s="2" t="str">
        <f aca="false">IF(Calculations!A31,Dates!J31,"")</f>
        <v>Apr</v>
      </c>
      <c r="G31" s="11" t="n">
        <f aca="false">IF(Calculations!A31,Dates!K31,"")</f>
        <v>2</v>
      </c>
      <c r="H31" s="2" t="str">
        <f aca="false">IF(Calculations!A31,Dates!H31,"")</f>
        <v>Fr</v>
      </c>
      <c r="I31" s="12" t="n">
        <v>26</v>
      </c>
      <c r="J31" s="20" t="s">
        <v>41</v>
      </c>
      <c r="K31" s="2" t="n">
        <f aca="false">IF(ISNUMBER(I31),1,0)</f>
        <v>1</v>
      </c>
      <c r="M31" s="2" t="str">
        <f aca="false">Calculations!I31</f>
        <v/>
      </c>
      <c r="N31" s="2" t="str">
        <f aca="false">IF(Calculations!A31,Settings!$B$5,"")</f>
        <v>&amp;</v>
      </c>
      <c r="O31" s="2" t="str">
        <f aca="false">Calculations!J31</f>
        <v>Apr</v>
      </c>
      <c r="P31" s="2" t="str">
        <f aca="false">IF(Calculations!A31,Settings!$B$5,"")</f>
        <v>&amp;</v>
      </c>
      <c r="Q31" s="2" t="str">
        <f aca="false">Calculations!K31</f>
        <v>02</v>
      </c>
      <c r="R31" s="2" t="str">
        <f aca="false">IF(Calculations!A31,Settings!$B$5,"")</f>
        <v>&amp;</v>
      </c>
      <c r="S31" s="2" t="str">
        <f aca="false">Calculations!L31</f>
        <v>Fr</v>
      </c>
      <c r="T31" s="2" t="str">
        <f aca="false">IF(Calculations!A31,Settings!$B$5,"")</f>
        <v>&amp;</v>
      </c>
      <c r="U31" s="2" t="n">
        <f aca="false">Calculations!M31</f>
        <v>26</v>
      </c>
      <c r="V31" s="2" t="str">
        <f aca="false">IF(Calculations!A31,Settings!$B$5,"")</f>
        <v>&amp;</v>
      </c>
      <c r="W31" s="2" t="str">
        <f aca="false">Calculations!N31</f>
        <v>Magnetism: Force and Field</v>
      </c>
      <c r="X31" s="2" t="str">
        <f aca="false">Calculations!O31</f>
        <v>\\</v>
      </c>
      <c r="Y31" s="2" t="str">
        <f aca="false">IF(Calculations!P31="","",Calculations!P31)</f>
        <v>\hline</v>
      </c>
    </row>
    <row r="32" customFormat="false" ht="13.8" hidden="false" customHeight="false" outlineLevel="0" collapsed="false">
      <c r="A32" s="23"/>
      <c r="B32" s="23"/>
      <c r="C32" s="2" t="str">
        <f aca="false">IF(Calculations!A32,Dates!D32,"")</f>
        <v>W11</v>
      </c>
      <c r="D32" s="2" t="n">
        <f aca="false">IF(Calculations!A32,1,"")</f>
        <v>1</v>
      </c>
      <c r="E32" s="2" t="n">
        <f aca="false">IF(Calculations!A32,Dates!I32,"")</f>
        <v>4</v>
      </c>
      <c r="F32" s="2" t="str">
        <f aca="false">IF(Calculations!A32,Dates!J32,"")</f>
        <v>Apr</v>
      </c>
      <c r="G32" s="11" t="n">
        <f aca="false">IF(Calculations!A32,Dates!K32,"")</f>
        <v>5</v>
      </c>
      <c r="H32" s="2" t="str">
        <f aca="false">IF(Calculations!A32,Dates!H32,"")</f>
        <v>Mo</v>
      </c>
      <c r="I32" s="12" t="n">
        <v>26</v>
      </c>
      <c r="J32" s="20" t="s">
        <v>41</v>
      </c>
      <c r="K32" s="2" t="n">
        <f aca="false">IF(ISNUMBER(I32),1,0)</f>
        <v>1</v>
      </c>
      <c r="M32" s="2" t="str">
        <f aca="false">Calculations!I32</f>
        <v>\multirow{3}{*}{W11}</v>
      </c>
      <c r="N32" s="2" t="str">
        <f aca="false">IF(Calculations!A32,Settings!$B$5,"")</f>
        <v>&amp;</v>
      </c>
      <c r="O32" s="2" t="str">
        <f aca="false">Calculations!J32</f>
        <v>\multirow{3}{*}{Apr}</v>
      </c>
      <c r="P32" s="2" t="str">
        <f aca="false">IF(Calculations!A32,Settings!$B$5,"")</f>
        <v>&amp;</v>
      </c>
      <c r="Q32" s="2" t="str">
        <f aca="false">Calculations!K32</f>
        <v>05</v>
      </c>
      <c r="R32" s="2" t="str">
        <f aca="false">IF(Calculations!A32,Settings!$B$5,"")</f>
        <v>&amp;</v>
      </c>
      <c r="S32" s="2" t="str">
        <f aca="false">Calculations!L32</f>
        <v>Mo\rule{0pt}{11pt}</v>
      </c>
      <c r="T32" s="2" t="str">
        <f aca="false">IF(Calculations!A32,Settings!$B$5,"")</f>
        <v>&amp;</v>
      </c>
      <c r="U32" s="2" t="n">
        <f aca="false">Calculations!M32</f>
        <v>26</v>
      </c>
      <c r="V32" s="2" t="str">
        <f aca="false">IF(Calculations!A32,Settings!$B$5,"")</f>
        <v>&amp;</v>
      </c>
      <c r="W32" s="2" t="str">
        <f aca="false">Calculations!N32</f>
        <v>Magnetism: Force and Field</v>
      </c>
      <c r="X32" s="2" t="str">
        <f aca="false">Calculations!O32</f>
        <v>\\*</v>
      </c>
      <c r="Y32" s="2" t="str">
        <f aca="false">IF(Calculations!P32="","",Calculations!P32)</f>
        <v/>
      </c>
    </row>
    <row r="33" customFormat="false" ht="13.8" hidden="false" customHeight="false" outlineLevel="0" collapsed="false">
      <c r="A33" s="23"/>
      <c r="B33" s="23"/>
      <c r="C33" s="2" t="str">
        <f aca="false">IF(Calculations!A33,Dates!D33,"")</f>
        <v/>
      </c>
      <c r="D33" s="2" t="n">
        <f aca="false">IF(Calculations!A33,1,"")</f>
        <v>1</v>
      </c>
      <c r="E33" s="2" t="n">
        <f aca="false">IF(Calculations!A33,Dates!I33,"")</f>
        <v>4</v>
      </c>
      <c r="F33" s="2" t="str">
        <f aca="false">IF(Calculations!A33,Dates!J33,"")</f>
        <v>Apr</v>
      </c>
      <c r="G33" s="11" t="n">
        <f aca="false">IF(Calculations!A33,Dates!K33,"")</f>
        <v>7</v>
      </c>
      <c r="H33" s="2" t="str">
        <f aca="false">IF(Calculations!A33,Dates!H33,"")</f>
        <v>We</v>
      </c>
      <c r="I33" s="12" t="n">
        <v>27</v>
      </c>
      <c r="J33" s="12" t="s">
        <v>42</v>
      </c>
      <c r="K33" s="2" t="n">
        <f aca="false">IF(ISNUMBER(I33),1,0)</f>
        <v>1</v>
      </c>
      <c r="M33" s="2" t="str">
        <f aca="false">Calculations!I33</f>
        <v/>
      </c>
      <c r="N33" s="2" t="str">
        <f aca="false">IF(Calculations!A33,Settings!$B$5,"")</f>
        <v>&amp;</v>
      </c>
      <c r="O33" s="2" t="str">
        <f aca="false">Calculations!J33</f>
        <v/>
      </c>
      <c r="P33" s="2" t="str">
        <f aca="false">IF(Calculations!A33,Settings!$B$5,"")</f>
        <v>&amp;</v>
      </c>
      <c r="Q33" s="2" t="str">
        <f aca="false">Calculations!K33</f>
        <v>07</v>
      </c>
      <c r="R33" s="2" t="str">
        <f aca="false">IF(Calculations!A33,Settings!$B$5,"")</f>
        <v>&amp;</v>
      </c>
      <c r="S33" s="2" t="str">
        <f aca="false">Calculations!L33</f>
        <v>We</v>
      </c>
      <c r="T33" s="2" t="str">
        <f aca="false">IF(Calculations!A33,Settings!$B$5,"")</f>
        <v>&amp;</v>
      </c>
      <c r="U33" s="2" t="n">
        <f aca="false">Calculations!M33</f>
        <v>27</v>
      </c>
      <c r="V33" s="2" t="str">
        <f aca="false">IF(Calculations!A33,Settings!$B$5,"")</f>
        <v>&amp;</v>
      </c>
      <c r="W33" s="2" t="str">
        <f aca="false">Calculations!N33</f>
        <v>Electromagnetic Induction</v>
      </c>
      <c r="X33" s="2" t="str">
        <f aca="false">Calculations!O33</f>
        <v>\\*</v>
      </c>
      <c r="Y33" s="2" t="str">
        <f aca="false">IF(Calculations!P33="","",Calculations!P33)</f>
        <v/>
      </c>
    </row>
    <row r="34" customFormat="false" ht="13.8" hidden="false" customHeight="false" outlineLevel="0" collapsed="false">
      <c r="A34" s="23"/>
      <c r="B34" s="23"/>
      <c r="C34" s="2" t="str">
        <f aca="false">IF(Calculations!A34,Dates!D34,"")</f>
        <v/>
      </c>
      <c r="D34" s="2" t="n">
        <f aca="false">IF(Calculations!A34,1,"")</f>
        <v>1</v>
      </c>
      <c r="E34" s="2" t="n">
        <f aca="false">IF(Calculations!A34,Dates!I34,"")</f>
        <v>4</v>
      </c>
      <c r="F34" s="2" t="str">
        <f aca="false">IF(Calculations!A34,Dates!J34,"")</f>
        <v>Apr</v>
      </c>
      <c r="G34" s="11" t="n">
        <f aca="false">IF(Calculations!A34,Dates!K34,"")</f>
        <v>9</v>
      </c>
      <c r="H34" s="2" t="str">
        <f aca="false">IF(Calculations!A34,Dates!H34,"")</f>
        <v>Fr</v>
      </c>
      <c r="I34" s="20" t="s">
        <v>43</v>
      </c>
      <c r="J34" s="12"/>
      <c r="K34" s="2" t="n">
        <f aca="false">IF(ISNUMBER(I34),1,0)</f>
        <v>0</v>
      </c>
      <c r="M34" s="2" t="str">
        <f aca="false">Calculations!I34</f>
        <v/>
      </c>
      <c r="N34" s="2" t="str">
        <f aca="false">IF(Calculations!A34,Settings!$B$5,"")</f>
        <v>&amp;</v>
      </c>
      <c r="O34" s="2" t="str">
        <f aca="false">Calculations!J34</f>
        <v/>
      </c>
      <c r="P34" s="2" t="str">
        <f aca="false">IF(Calculations!A34,Settings!$B$5,"")</f>
        <v>&amp;</v>
      </c>
      <c r="Q34" s="2" t="str">
        <f aca="false">Calculations!K34</f>
        <v>09</v>
      </c>
      <c r="R34" s="2" t="str">
        <f aca="false">IF(Calculations!A34,Settings!$B$5,"")</f>
        <v>&amp;</v>
      </c>
      <c r="S34" s="2" t="str">
        <f aca="false">Calculations!L34</f>
        <v>Fr</v>
      </c>
      <c r="T34" s="2" t="str">
        <f aca="false">IF(Calculations!A34,Settings!$B$5,"")</f>
        <v>&amp;</v>
      </c>
      <c r="U34" s="2" t="str">
        <f aca="false">Calculations!M34</f>
        <v>\textbf{Midterm 2}</v>
      </c>
      <c r="V34" s="2" t="str">
        <f aca="false">IF(Calculations!A34,Settings!$B$5,"")</f>
        <v>&amp;</v>
      </c>
      <c r="W34" s="2" t="str">
        <f aca="false">Calculations!N34</f>
        <v/>
      </c>
      <c r="X34" s="2" t="str">
        <f aca="false">Calculations!O34</f>
        <v>\\</v>
      </c>
      <c r="Y34" s="2" t="str">
        <f aca="false">IF(Calculations!P34="","",Calculations!P34)</f>
        <v>\hline</v>
      </c>
    </row>
    <row r="35" customFormat="false" ht="13.8" hidden="false" customHeight="false" outlineLevel="0" collapsed="false">
      <c r="A35" s="23"/>
      <c r="B35" s="23"/>
      <c r="C35" s="2" t="str">
        <f aca="false">IF(Calculations!A35,Dates!D35,"")</f>
        <v>W12</v>
      </c>
      <c r="D35" s="2" t="n">
        <f aca="false">IF(Calculations!A35,1,"")</f>
        <v>1</v>
      </c>
      <c r="E35" s="2" t="n">
        <f aca="false">IF(Calculations!A35,Dates!I35,"")</f>
        <v>4</v>
      </c>
      <c r="F35" s="2" t="str">
        <f aca="false">IF(Calculations!A35,Dates!J35,"")</f>
        <v>Apr</v>
      </c>
      <c r="G35" s="11" t="n">
        <f aca="false">IF(Calculations!A35,Dates!K35,"")</f>
        <v>12</v>
      </c>
      <c r="H35" s="2" t="str">
        <f aca="false">IF(Calculations!A35,Dates!H35,"")</f>
        <v>Mo</v>
      </c>
      <c r="I35" s="12" t="n">
        <v>27</v>
      </c>
      <c r="J35" s="12" t="s">
        <v>42</v>
      </c>
      <c r="K35" s="2" t="n">
        <f aca="false">IF(ISNUMBER(I35),1,0)</f>
        <v>1</v>
      </c>
      <c r="M35" s="2" t="str">
        <f aca="false">Calculations!I35</f>
        <v>\multirow{3}{*}{W12}</v>
      </c>
      <c r="N35" s="2" t="str">
        <f aca="false">IF(Calculations!A35,Settings!$B$5,"")</f>
        <v>&amp;</v>
      </c>
      <c r="O35" s="2" t="str">
        <f aca="false">Calculations!J35</f>
        <v>\multirow{3}{*}{Apr}</v>
      </c>
      <c r="P35" s="2" t="str">
        <f aca="false">IF(Calculations!A35,Settings!$B$5,"")</f>
        <v>&amp;</v>
      </c>
      <c r="Q35" s="2" t="str">
        <f aca="false">Calculations!K35</f>
        <v>12</v>
      </c>
      <c r="R35" s="2" t="str">
        <f aca="false">IF(Calculations!A35,Settings!$B$5,"")</f>
        <v>&amp;</v>
      </c>
      <c r="S35" s="2" t="str">
        <f aca="false">Calculations!L35</f>
        <v>Mo\rule{0pt}{11pt}</v>
      </c>
      <c r="T35" s="2" t="str">
        <f aca="false">IF(Calculations!A35,Settings!$B$5,"")</f>
        <v>&amp;</v>
      </c>
      <c r="U35" s="2" t="n">
        <f aca="false">Calculations!M35</f>
        <v>27</v>
      </c>
      <c r="V35" s="2" t="str">
        <f aca="false">IF(Calculations!A35,Settings!$B$5,"")</f>
        <v>&amp;</v>
      </c>
      <c r="W35" s="2" t="str">
        <f aca="false">Calculations!N35</f>
        <v>Electromagnetic Induction</v>
      </c>
      <c r="X35" s="2" t="str">
        <f aca="false">Calculations!O35</f>
        <v>\\*</v>
      </c>
      <c r="Y35" s="2" t="str">
        <f aca="false">IF(Calculations!P35="","",Calculations!P35)</f>
        <v/>
      </c>
    </row>
    <row r="36" customFormat="false" ht="13.8" hidden="false" customHeight="false" outlineLevel="0" collapsed="false">
      <c r="A36" s="23"/>
      <c r="B36" s="23"/>
      <c r="C36" s="2" t="str">
        <f aca="false">IF(Calculations!A36,Dates!D36,"")</f>
        <v/>
      </c>
      <c r="D36" s="2" t="n">
        <f aca="false">IF(Calculations!A36,1,"")</f>
        <v>1</v>
      </c>
      <c r="E36" s="2" t="n">
        <f aca="false">IF(Calculations!A36,Dates!I36,"")</f>
        <v>4</v>
      </c>
      <c r="F36" s="2" t="str">
        <f aca="false">IF(Calculations!A36,Dates!J36,"")</f>
        <v>Apr</v>
      </c>
      <c r="G36" s="11" t="n">
        <f aca="false">IF(Calculations!A36,Dates!K36,"")</f>
        <v>14</v>
      </c>
      <c r="H36" s="2" t="str">
        <f aca="false">IF(Calculations!A36,Dates!H36,"")</f>
        <v>We</v>
      </c>
      <c r="I36" s="12" t="n">
        <v>27</v>
      </c>
      <c r="J36" s="12" t="s">
        <v>42</v>
      </c>
      <c r="K36" s="2" t="n">
        <f aca="false">IF(ISNUMBER(I36),1,0)</f>
        <v>1</v>
      </c>
      <c r="M36" s="2" t="str">
        <f aca="false">Calculations!I36</f>
        <v/>
      </c>
      <c r="N36" s="2" t="str">
        <f aca="false">IF(Calculations!A36,Settings!$B$5,"")</f>
        <v>&amp;</v>
      </c>
      <c r="O36" s="2" t="str">
        <f aca="false">Calculations!J36</f>
        <v/>
      </c>
      <c r="P36" s="2" t="str">
        <f aca="false">IF(Calculations!A36,Settings!$B$5,"")</f>
        <v>&amp;</v>
      </c>
      <c r="Q36" s="2" t="str">
        <f aca="false">Calculations!K36</f>
        <v>14</v>
      </c>
      <c r="R36" s="2" t="str">
        <f aca="false">IF(Calculations!A36,Settings!$B$5,"")</f>
        <v>&amp;</v>
      </c>
      <c r="S36" s="2" t="str">
        <f aca="false">Calculations!L36</f>
        <v>We</v>
      </c>
      <c r="T36" s="2" t="str">
        <f aca="false">IF(Calculations!A36,Settings!$B$5,"")</f>
        <v>&amp;</v>
      </c>
      <c r="U36" s="2" t="n">
        <f aca="false">Calculations!M36</f>
        <v>27</v>
      </c>
      <c r="V36" s="2" t="str">
        <f aca="false">IF(Calculations!A36,Settings!$B$5,"")</f>
        <v>&amp;</v>
      </c>
      <c r="W36" s="2" t="str">
        <f aca="false">Calculations!N36</f>
        <v>Electromagnetic Induction</v>
      </c>
      <c r="X36" s="2" t="str">
        <f aca="false">Calculations!O36</f>
        <v>\\*</v>
      </c>
      <c r="Y36" s="2" t="str">
        <f aca="false">IF(Calculations!P36="","",Calculations!P36)</f>
        <v/>
      </c>
    </row>
    <row r="37" customFormat="false" ht="13.8" hidden="false" customHeight="false" outlineLevel="0" collapsed="false">
      <c r="A37" s="23"/>
      <c r="B37" s="23"/>
      <c r="C37" s="2" t="str">
        <f aca="false">IF(Calculations!A37,Dates!D37,"")</f>
        <v/>
      </c>
      <c r="D37" s="2" t="n">
        <f aca="false">IF(Calculations!A37,1,"")</f>
        <v>1</v>
      </c>
      <c r="E37" s="2" t="n">
        <f aca="false">IF(Calculations!A37,Dates!I37,"")</f>
        <v>4</v>
      </c>
      <c r="F37" s="2" t="str">
        <f aca="false">IF(Calculations!A37,Dates!J37,"")</f>
        <v>Apr</v>
      </c>
      <c r="G37" s="11" t="n">
        <f aca="false">IF(Calculations!A37,Dates!K37,"")</f>
        <v>16</v>
      </c>
      <c r="H37" s="2" t="str">
        <f aca="false">IF(Calculations!A37,Dates!H37,"")</f>
        <v>Fr</v>
      </c>
      <c r="I37" s="12" t="n">
        <v>28</v>
      </c>
      <c r="J37" s="12" t="s">
        <v>44</v>
      </c>
      <c r="K37" s="2" t="n">
        <f aca="false">IF(ISNUMBER(I37),1,0)</f>
        <v>1</v>
      </c>
      <c r="M37" s="2" t="str">
        <f aca="false">Calculations!I37</f>
        <v/>
      </c>
      <c r="N37" s="2" t="str">
        <f aca="false">IF(Calculations!A37,Settings!$B$5,"")</f>
        <v>&amp;</v>
      </c>
      <c r="O37" s="2" t="str">
        <f aca="false">Calculations!J37</f>
        <v/>
      </c>
      <c r="P37" s="2" t="str">
        <f aca="false">IF(Calculations!A37,Settings!$B$5,"")</f>
        <v>&amp;</v>
      </c>
      <c r="Q37" s="2" t="str">
        <f aca="false">Calculations!K37</f>
        <v>16</v>
      </c>
      <c r="R37" s="2" t="str">
        <f aca="false">IF(Calculations!A37,Settings!$B$5,"")</f>
        <v>&amp;</v>
      </c>
      <c r="S37" s="2" t="str">
        <f aca="false">Calculations!L37</f>
        <v>Fr</v>
      </c>
      <c r="T37" s="2" t="str">
        <f aca="false">IF(Calculations!A37,Settings!$B$5,"")</f>
        <v>&amp;</v>
      </c>
      <c r="U37" s="2" t="n">
        <f aca="false">Calculations!M37</f>
        <v>28</v>
      </c>
      <c r="V37" s="2" t="str">
        <f aca="false">IF(Calculations!A37,Settings!$B$5,"")</f>
        <v>&amp;</v>
      </c>
      <c r="W37" s="2" t="str">
        <f aca="false">Calculations!N37</f>
        <v>Alternating-Current Circuits</v>
      </c>
      <c r="X37" s="2" t="str">
        <f aca="false">Calculations!O37</f>
        <v>\\</v>
      </c>
      <c r="Y37" s="2" t="str">
        <f aca="false">IF(Calculations!P37="","",Calculations!P37)</f>
        <v>\hline</v>
      </c>
    </row>
    <row r="38" customFormat="false" ht="13.8" hidden="false" customHeight="false" outlineLevel="0" collapsed="false">
      <c r="A38" s="23"/>
      <c r="B38" s="23"/>
      <c r="C38" s="2" t="str">
        <f aca="false">IF(Calculations!A38,Dates!D38,"")</f>
        <v>W13</v>
      </c>
      <c r="D38" s="2" t="n">
        <f aca="false">IF(Calculations!A38,1,"")</f>
        <v>1</v>
      </c>
      <c r="E38" s="2" t="n">
        <f aca="false">IF(Calculations!A38,Dates!I38,"")</f>
        <v>4</v>
      </c>
      <c r="F38" s="2" t="str">
        <f aca="false">IF(Calculations!A38,Dates!J38,"")</f>
        <v>Apr</v>
      </c>
      <c r="G38" s="11" t="n">
        <f aca="false">IF(Calculations!A38,Dates!K38,"")</f>
        <v>19</v>
      </c>
      <c r="H38" s="2" t="str">
        <f aca="false">IF(Calculations!A38,Dates!H38,"")</f>
        <v>Mo</v>
      </c>
      <c r="I38" s="20" t="s">
        <v>23</v>
      </c>
      <c r="J38" s="12" t="s">
        <v>45</v>
      </c>
      <c r="K38" s="2" t="n">
        <f aca="false">IF(ISNUMBER(I38),1,0)</f>
        <v>0</v>
      </c>
      <c r="M38" s="2" t="str">
        <f aca="false">Calculations!I38</f>
        <v>\multirow{3}{*}{W13}</v>
      </c>
      <c r="N38" s="2" t="str">
        <f aca="false">IF(Calculations!A38,Settings!$B$5,"")</f>
        <v>&amp;</v>
      </c>
      <c r="O38" s="2" t="str">
        <f aca="false">Calculations!J38</f>
        <v>\multirow{3}{*}{Apr}</v>
      </c>
      <c r="P38" s="2" t="str">
        <f aca="false">IF(Calculations!A38,Settings!$B$5,"")</f>
        <v>&amp;</v>
      </c>
      <c r="Q38" s="2" t="str">
        <f aca="false">Calculations!K38</f>
        <v>19</v>
      </c>
      <c r="R38" s="2" t="str">
        <f aca="false">IF(Calculations!A38,Settings!$B$5,"")</f>
        <v>&amp;</v>
      </c>
      <c r="S38" s="2" t="str">
        <f aca="false">Calculations!L38</f>
        <v>Mo\rule{0pt}{11pt}</v>
      </c>
      <c r="T38" s="2" t="str">
        <f aca="false">IF(Calculations!A38,Settings!$B$5,"")</f>
        <v>&amp;</v>
      </c>
      <c r="U38" s="2" t="str">
        <f aca="false">Calculations!M38</f>
        <v>No class</v>
      </c>
      <c r="V38" s="2" t="str">
        <f aca="false">IF(Calculations!A38,Settings!$B$5,"")</f>
        <v>&amp;</v>
      </c>
      <c r="W38" s="2" t="str">
        <f aca="false">Calculations!N38</f>
        <v>Patriot’s Day</v>
      </c>
      <c r="X38" s="2" t="str">
        <f aca="false">Calculations!O38</f>
        <v>\\*</v>
      </c>
      <c r="Y38" s="2" t="str">
        <f aca="false">IF(Calculations!P38="","",Calculations!P38)</f>
        <v/>
      </c>
    </row>
    <row r="39" customFormat="false" ht="13.8" hidden="false" customHeight="false" outlineLevel="0" collapsed="false">
      <c r="A39" s="23"/>
      <c r="B39" s="23"/>
      <c r="C39" s="2" t="str">
        <f aca="false">IF(Calculations!A39,Dates!D39,"")</f>
        <v/>
      </c>
      <c r="D39" s="2" t="n">
        <f aca="false">IF(Calculations!A39,1,"")</f>
        <v>1</v>
      </c>
      <c r="E39" s="2" t="n">
        <f aca="false">IF(Calculations!A39,Dates!I39,"")</f>
        <v>4</v>
      </c>
      <c r="F39" s="2" t="str">
        <f aca="false">IF(Calculations!A39,Dates!J39,"")</f>
        <v>Apr</v>
      </c>
      <c r="G39" s="11" t="n">
        <f aca="false">IF(Calculations!A39,Dates!K39,"")</f>
        <v>21</v>
      </c>
      <c r="H39" s="2" t="str">
        <f aca="false">IF(Calculations!A39,Dates!H39,"")</f>
        <v>We</v>
      </c>
      <c r="I39" s="12" t="n">
        <v>28</v>
      </c>
      <c r="J39" s="12" t="s">
        <v>44</v>
      </c>
      <c r="K39" s="2" t="n">
        <f aca="false">IF(ISNUMBER(I39),1,0)</f>
        <v>1</v>
      </c>
      <c r="M39" s="2" t="str">
        <f aca="false">Calculations!I39</f>
        <v/>
      </c>
      <c r="N39" s="2" t="str">
        <f aca="false">IF(Calculations!A39,Settings!$B$5,"")</f>
        <v>&amp;</v>
      </c>
      <c r="O39" s="2" t="str">
        <f aca="false">Calculations!J39</f>
        <v/>
      </c>
      <c r="P39" s="2" t="str">
        <f aca="false">IF(Calculations!A39,Settings!$B$5,"")</f>
        <v>&amp;</v>
      </c>
      <c r="Q39" s="2" t="str">
        <f aca="false">Calculations!K39</f>
        <v>21</v>
      </c>
      <c r="R39" s="2" t="str">
        <f aca="false">IF(Calculations!A39,Settings!$B$5,"")</f>
        <v>&amp;</v>
      </c>
      <c r="S39" s="2" t="str">
        <f aca="false">Calculations!L39</f>
        <v>We</v>
      </c>
      <c r="T39" s="2" t="str">
        <f aca="false">IF(Calculations!A39,Settings!$B$5,"")</f>
        <v>&amp;</v>
      </c>
      <c r="U39" s="2" t="n">
        <f aca="false">Calculations!M39</f>
        <v>28</v>
      </c>
      <c r="V39" s="2" t="str">
        <f aca="false">IF(Calculations!A39,Settings!$B$5,"")</f>
        <v>&amp;</v>
      </c>
      <c r="W39" s="2" t="str">
        <f aca="false">Calculations!N39</f>
        <v>Alternating-Current Circuits</v>
      </c>
      <c r="X39" s="2" t="str">
        <f aca="false">Calculations!O39</f>
        <v>\\*</v>
      </c>
      <c r="Y39" s="2" t="str">
        <f aca="false">IF(Calculations!P39="","",Calculations!P39)</f>
        <v/>
      </c>
    </row>
    <row r="40" customFormat="false" ht="13.8" hidden="false" customHeight="false" outlineLevel="0" collapsed="false">
      <c r="A40" s="23"/>
      <c r="B40" s="23"/>
      <c r="C40" s="2" t="str">
        <f aca="false">IF(Calculations!A40,Dates!D40,"")</f>
        <v/>
      </c>
      <c r="D40" s="2" t="n">
        <f aca="false">IF(Calculations!A40,1,"")</f>
        <v>1</v>
      </c>
      <c r="E40" s="2" t="n">
        <f aca="false">IF(Calculations!A40,Dates!I40,"")</f>
        <v>4</v>
      </c>
      <c r="F40" s="2" t="str">
        <f aca="false">IF(Calculations!A40,Dates!J40,"")</f>
        <v>Apr</v>
      </c>
      <c r="G40" s="11" t="n">
        <f aca="false">IF(Calculations!A40,Dates!K40,"")</f>
        <v>23</v>
      </c>
      <c r="H40" s="2" t="str">
        <f aca="false">IF(Calculations!A40,Dates!H40,"")</f>
        <v>Fr</v>
      </c>
      <c r="I40" s="12" t="n">
        <v>29</v>
      </c>
      <c r="J40" s="12" t="s">
        <v>46</v>
      </c>
      <c r="K40" s="2" t="n">
        <f aca="false">IF(ISNUMBER(I40),1,0)</f>
        <v>1</v>
      </c>
      <c r="M40" s="2" t="str">
        <f aca="false">Calculations!I40</f>
        <v/>
      </c>
      <c r="N40" s="2" t="str">
        <f aca="false">IF(Calculations!A40,Settings!$B$5,"")</f>
        <v>&amp;</v>
      </c>
      <c r="O40" s="2" t="str">
        <f aca="false">Calculations!J40</f>
        <v/>
      </c>
      <c r="P40" s="2" t="str">
        <f aca="false">IF(Calculations!A40,Settings!$B$5,"")</f>
        <v>&amp;</v>
      </c>
      <c r="Q40" s="2" t="str">
        <f aca="false">Calculations!K40</f>
        <v>23</v>
      </c>
      <c r="R40" s="2" t="str">
        <f aca="false">IF(Calculations!A40,Settings!$B$5,"")</f>
        <v>&amp;</v>
      </c>
      <c r="S40" s="2" t="str">
        <f aca="false">Calculations!L40</f>
        <v>Fr</v>
      </c>
      <c r="T40" s="2" t="str">
        <f aca="false">IF(Calculations!A40,Settings!$B$5,"")</f>
        <v>&amp;</v>
      </c>
      <c r="U40" s="2" t="n">
        <f aca="false">Calculations!M40</f>
        <v>29</v>
      </c>
      <c r="V40" s="2" t="str">
        <f aca="false">IF(Calculations!A40,Settings!$B$5,"")</f>
        <v>&amp;</v>
      </c>
      <c r="W40" s="2" t="str">
        <f aca="false">Calculations!N40</f>
        <v>Maxwell’s Equations and Electromagnetic Waves</v>
      </c>
      <c r="X40" s="2" t="str">
        <f aca="false">Calculations!O40</f>
        <v>\\</v>
      </c>
      <c r="Y40" s="2" t="str">
        <f aca="false">IF(Calculations!P40="","",Calculations!P40)</f>
        <v>\hline</v>
      </c>
    </row>
    <row r="41" customFormat="false" ht="13.8" hidden="false" customHeight="false" outlineLevel="0" collapsed="false">
      <c r="A41" s="23"/>
      <c r="B41" s="23"/>
      <c r="C41" s="2" t="str">
        <f aca="false">IF(Calculations!A41,Dates!D41,"")</f>
        <v>W14</v>
      </c>
      <c r="D41" s="2" t="n">
        <f aca="false">IF(Calculations!A41,1,"")</f>
        <v>1</v>
      </c>
      <c r="E41" s="2" t="n">
        <f aca="false">IF(Calculations!A41,Dates!I41,"")</f>
        <v>4</v>
      </c>
      <c r="F41" s="2" t="str">
        <f aca="false">IF(Calculations!A41,Dates!J41,"")</f>
        <v>Apr</v>
      </c>
      <c r="G41" s="11" t="n">
        <f aca="false">IF(Calculations!A41,Dates!K41,"")</f>
        <v>26</v>
      </c>
      <c r="H41" s="2" t="str">
        <f aca="false">IF(Calculations!A41,Dates!H41,"")</f>
        <v>Mo</v>
      </c>
      <c r="I41" s="12" t="n">
        <v>29</v>
      </c>
      <c r="J41" s="12" t="s">
        <v>46</v>
      </c>
      <c r="K41" s="2" t="n">
        <f aca="false">IF(ISNUMBER(I41),1,0)</f>
        <v>1</v>
      </c>
      <c r="M41" s="2" t="str">
        <f aca="false">Calculations!I41</f>
        <v>\multirow{3}{*}{W14}</v>
      </c>
      <c r="N41" s="2" t="str">
        <f aca="false">IF(Calculations!A41,Settings!$B$5,"")</f>
        <v>&amp;</v>
      </c>
      <c r="O41" s="2" t="str">
        <f aca="false">Calculations!J41</f>
        <v>\multirow{3}{*}{Apr}</v>
      </c>
      <c r="P41" s="2" t="str">
        <f aca="false">IF(Calculations!A41,Settings!$B$5,"")</f>
        <v>&amp;</v>
      </c>
      <c r="Q41" s="2" t="str">
        <f aca="false">Calculations!K41</f>
        <v>26</v>
      </c>
      <c r="R41" s="2" t="str">
        <f aca="false">IF(Calculations!A41,Settings!$B$5,"")</f>
        <v>&amp;</v>
      </c>
      <c r="S41" s="2" t="str">
        <f aca="false">Calculations!L41</f>
        <v>Mo\rule{0pt}{11pt}</v>
      </c>
      <c r="T41" s="2" t="str">
        <f aca="false">IF(Calculations!A41,Settings!$B$5,"")</f>
        <v>&amp;</v>
      </c>
      <c r="U41" s="2" t="n">
        <f aca="false">Calculations!M41</f>
        <v>29</v>
      </c>
      <c r="V41" s="2" t="str">
        <f aca="false">IF(Calculations!A41,Settings!$B$5,"")</f>
        <v>&amp;</v>
      </c>
      <c r="W41" s="2" t="str">
        <f aca="false">Calculations!N41</f>
        <v>Maxwell’s Equations and Electromagnetic Waves</v>
      </c>
      <c r="X41" s="2" t="str">
        <f aca="false">Calculations!O41</f>
        <v>\\*</v>
      </c>
      <c r="Y41" s="2" t="str">
        <f aca="false">IF(Calculations!P41="","",Calculations!P41)</f>
        <v/>
      </c>
    </row>
    <row r="42" customFormat="false" ht="13.8" hidden="false" customHeight="false" outlineLevel="0" collapsed="false">
      <c r="A42" s="23"/>
      <c r="B42" s="23"/>
      <c r="C42" s="2" t="str">
        <f aca="false">IF(Calculations!A42,Dates!D42,"")</f>
        <v/>
      </c>
      <c r="D42" s="2" t="n">
        <f aca="false">IF(Calculations!A42,1,"")</f>
        <v>1</v>
      </c>
      <c r="E42" s="2" t="n">
        <f aca="false">IF(Calculations!A42,Dates!I42,"")</f>
        <v>4</v>
      </c>
      <c r="F42" s="2" t="str">
        <f aca="false">IF(Calculations!A42,Dates!J42,"")</f>
        <v>Apr</v>
      </c>
      <c r="G42" s="11" t="n">
        <f aca="false">IF(Calculations!A42,Dates!K42,"")</f>
        <v>28</v>
      </c>
      <c r="H42" s="2" t="str">
        <f aca="false">IF(Calculations!A42,Dates!H42,"")</f>
        <v>We</v>
      </c>
      <c r="I42" s="12" t="n">
        <v>30</v>
      </c>
      <c r="J42" s="12" t="s">
        <v>47</v>
      </c>
      <c r="K42" s="2" t="n">
        <f aca="false">IF(ISNUMBER(I42),1,0)</f>
        <v>1</v>
      </c>
      <c r="M42" s="2" t="str">
        <f aca="false">Calculations!I42</f>
        <v/>
      </c>
      <c r="N42" s="2" t="str">
        <f aca="false">IF(Calculations!A42,Settings!$B$5,"")</f>
        <v>&amp;</v>
      </c>
      <c r="O42" s="2" t="str">
        <f aca="false">Calculations!J42</f>
        <v/>
      </c>
      <c r="P42" s="2" t="str">
        <f aca="false">IF(Calculations!A42,Settings!$B$5,"")</f>
        <v>&amp;</v>
      </c>
      <c r="Q42" s="2" t="str">
        <f aca="false">Calculations!K42</f>
        <v>28</v>
      </c>
      <c r="R42" s="2" t="str">
        <f aca="false">IF(Calculations!A42,Settings!$B$5,"")</f>
        <v>&amp;</v>
      </c>
      <c r="S42" s="2" t="str">
        <f aca="false">Calculations!L42</f>
        <v>We</v>
      </c>
      <c r="T42" s="2" t="str">
        <f aca="false">IF(Calculations!A42,Settings!$B$5,"")</f>
        <v>&amp;</v>
      </c>
      <c r="U42" s="2" t="n">
        <f aca="false">Calculations!M42</f>
        <v>30</v>
      </c>
      <c r="V42" s="2" t="str">
        <f aca="false">IF(Calculations!A42,Settings!$B$5,"")</f>
        <v>&amp;</v>
      </c>
      <c r="W42" s="2" t="str">
        <f aca="false">Calculations!N42</f>
        <v>Reflection and Refraction</v>
      </c>
      <c r="X42" s="2" t="str">
        <f aca="false">Calculations!O42</f>
        <v>\\*</v>
      </c>
      <c r="Y42" s="2" t="str">
        <f aca="false">IF(Calculations!P42="","",Calculations!P42)</f>
        <v/>
      </c>
    </row>
    <row r="43" customFormat="false" ht="13.8" hidden="false" customHeight="false" outlineLevel="0" collapsed="false">
      <c r="A43" s="23"/>
      <c r="B43" s="23"/>
      <c r="C43" s="2" t="str">
        <f aca="false">IF(Calculations!A43,Dates!D43,"")</f>
        <v/>
      </c>
      <c r="D43" s="2" t="n">
        <f aca="false">IF(Calculations!A43,1,"")</f>
        <v>1</v>
      </c>
      <c r="E43" s="2" t="n">
        <f aca="false">IF(Calculations!A43,Dates!I43,"")</f>
        <v>4</v>
      </c>
      <c r="F43" s="2" t="str">
        <f aca="false">IF(Calculations!A43,Dates!J43,"")</f>
        <v>Apr</v>
      </c>
      <c r="G43" s="11" t="n">
        <f aca="false">IF(Calculations!A43,Dates!K43,"")</f>
        <v>30</v>
      </c>
      <c r="H43" s="2" t="str">
        <f aca="false">IF(Calculations!A43,Dates!H43,"")</f>
        <v>Fr</v>
      </c>
      <c r="I43" s="12" t="n">
        <v>30</v>
      </c>
      <c r="J43" s="12" t="s">
        <v>47</v>
      </c>
      <c r="K43" s="2" t="n">
        <f aca="false">IF(ISNUMBER(I43),1,0)</f>
        <v>1</v>
      </c>
      <c r="M43" s="2" t="str">
        <f aca="false">Calculations!I43</f>
        <v/>
      </c>
      <c r="N43" s="2" t="str">
        <f aca="false">IF(Calculations!A43,Settings!$B$5,"")</f>
        <v>&amp;</v>
      </c>
      <c r="O43" s="2" t="str">
        <f aca="false">Calculations!J43</f>
        <v/>
      </c>
      <c r="P43" s="2" t="str">
        <f aca="false">IF(Calculations!A43,Settings!$B$5,"")</f>
        <v>&amp;</v>
      </c>
      <c r="Q43" s="2" t="str">
        <f aca="false">Calculations!K43</f>
        <v>30</v>
      </c>
      <c r="R43" s="2" t="str">
        <f aca="false">IF(Calculations!A43,Settings!$B$5,"")</f>
        <v>&amp;</v>
      </c>
      <c r="S43" s="2" t="str">
        <f aca="false">Calculations!L43</f>
        <v>Fr</v>
      </c>
      <c r="T43" s="2" t="str">
        <f aca="false">IF(Calculations!A43,Settings!$B$5,"")</f>
        <v>&amp;</v>
      </c>
      <c r="U43" s="2" t="n">
        <f aca="false">Calculations!M43</f>
        <v>30</v>
      </c>
      <c r="V43" s="2" t="str">
        <f aca="false">IF(Calculations!A43,Settings!$B$5,"")</f>
        <v>&amp;</v>
      </c>
      <c r="W43" s="2" t="str">
        <f aca="false">Calculations!N43</f>
        <v>Reflection and Refraction</v>
      </c>
      <c r="X43" s="2" t="str">
        <f aca="false">Calculations!O43</f>
        <v>\\</v>
      </c>
      <c r="Y43" s="2" t="str">
        <f aca="false">IF(Calculations!P43="","",Calculations!P43)</f>
        <v>\hline</v>
      </c>
    </row>
    <row r="44" customFormat="false" ht="13.8" hidden="false" customHeight="false" outlineLevel="0" collapsed="false">
      <c r="A44" s="23"/>
      <c r="B44" s="23"/>
      <c r="C44" s="2" t="str">
        <f aca="false">IF(Calculations!A44,Dates!D44,"")</f>
        <v>W15</v>
      </c>
      <c r="D44" s="2" t="n">
        <f aca="false">IF(Calculations!A44,1,"")</f>
        <v>1</v>
      </c>
      <c r="E44" s="2" t="n">
        <f aca="false">IF(Calculations!A44,Dates!I44,"")</f>
        <v>5</v>
      </c>
      <c r="F44" s="2" t="str">
        <f aca="false">IF(Calculations!A44,Dates!J44,"")</f>
        <v>May</v>
      </c>
      <c r="G44" s="11" t="n">
        <f aca="false">IF(Calculations!A44,Dates!K44,"")</f>
        <v>3</v>
      </c>
      <c r="H44" s="2" t="str">
        <f aca="false">IF(Calculations!A44,Dates!H44,"")</f>
        <v>Mo</v>
      </c>
      <c r="I44" s="12" t="n">
        <v>31</v>
      </c>
      <c r="J44" s="12" t="s">
        <v>48</v>
      </c>
      <c r="K44" s="2" t="n">
        <f aca="false">IF(ISNUMBER(I44),1,0)</f>
        <v>1</v>
      </c>
      <c r="M44" s="2" t="str">
        <f aca="false">Calculations!I44</f>
        <v>\multirow{3}{*}{W15}</v>
      </c>
      <c r="N44" s="2" t="str">
        <f aca="false">IF(Calculations!A44,Settings!$B$5,"")</f>
        <v>&amp;</v>
      </c>
      <c r="O44" s="2" t="str">
        <f aca="false">Calculations!J44</f>
        <v>\multirow{3}{*}{May}</v>
      </c>
      <c r="P44" s="2" t="str">
        <f aca="false">IF(Calculations!A44,Settings!$B$5,"")</f>
        <v>&amp;</v>
      </c>
      <c r="Q44" s="2" t="str">
        <f aca="false">Calculations!K44</f>
        <v>03</v>
      </c>
      <c r="R44" s="2" t="str">
        <f aca="false">IF(Calculations!A44,Settings!$B$5,"")</f>
        <v>&amp;</v>
      </c>
      <c r="S44" s="2" t="str">
        <f aca="false">Calculations!L44</f>
        <v>Mo\rule{0pt}{11pt}</v>
      </c>
      <c r="T44" s="2" t="str">
        <f aca="false">IF(Calculations!A44,Settings!$B$5,"")</f>
        <v>&amp;</v>
      </c>
      <c r="U44" s="2" t="n">
        <f aca="false">Calculations!M44</f>
        <v>31</v>
      </c>
      <c r="V44" s="2" t="str">
        <f aca="false">IF(Calculations!A44,Settings!$B$5,"")</f>
        <v>&amp;</v>
      </c>
      <c r="W44" s="2" t="str">
        <f aca="false">Calculations!N44</f>
        <v>Images and Optical Instruments</v>
      </c>
      <c r="X44" s="2" t="str">
        <f aca="false">Calculations!O44</f>
        <v>\\*</v>
      </c>
      <c r="Y44" s="2" t="str">
        <f aca="false">IF(Calculations!P44="","",Calculations!P44)</f>
        <v/>
      </c>
    </row>
    <row r="45" customFormat="false" ht="13.8" hidden="false" customHeight="false" outlineLevel="0" collapsed="false">
      <c r="A45" s="23"/>
      <c r="B45" s="23"/>
      <c r="C45" s="2" t="str">
        <f aca="false">IF(Calculations!A45,Dates!D45,"")</f>
        <v/>
      </c>
      <c r="D45" s="2" t="n">
        <f aca="false">IF(Calculations!A45,1,"")</f>
        <v>1</v>
      </c>
      <c r="E45" s="2" t="n">
        <f aca="false">IF(Calculations!A45,Dates!I45,"")</f>
        <v>5</v>
      </c>
      <c r="F45" s="2" t="str">
        <f aca="false">IF(Calculations!A45,Dates!J45,"")</f>
        <v>May</v>
      </c>
      <c r="G45" s="11" t="n">
        <f aca="false">IF(Calculations!A45,Dates!K45,"")</f>
        <v>5</v>
      </c>
      <c r="H45" s="2" t="str">
        <f aca="false">IF(Calculations!A45,Dates!H45,"")</f>
        <v>We</v>
      </c>
      <c r="I45" s="12" t="n">
        <v>31</v>
      </c>
      <c r="J45" s="12" t="s">
        <v>48</v>
      </c>
      <c r="K45" s="2" t="n">
        <f aca="false">IF(ISNUMBER(I45),1,0)</f>
        <v>1</v>
      </c>
      <c r="M45" s="2" t="str">
        <f aca="false">Calculations!I45</f>
        <v/>
      </c>
      <c r="N45" s="2" t="str">
        <f aca="false">IF(Calculations!A45,Settings!$B$5,"")</f>
        <v>&amp;</v>
      </c>
      <c r="O45" s="2" t="str">
        <f aca="false">Calculations!J45</f>
        <v/>
      </c>
      <c r="P45" s="2" t="str">
        <f aca="false">IF(Calculations!A45,Settings!$B$5,"")</f>
        <v>&amp;</v>
      </c>
      <c r="Q45" s="2" t="str">
        <f aca="false">Calculations!K45</f>
        <v>05</v>
      </c>
      <c r="R45" s="2" t="str">
        <f aca="false">IF(Calculations!A45,Settings!$B$5,"")</f>
        <v>&amp;</v>
      </c>
      <c r="S45" s="2" t="str">
        <f aca="false">Calculations!L45</f>
        <v>We</v>
      </c>
      <c r="T45" s="2" t="str">
        <f aca="false">IF(Calculations!A45,Settings!$B$5,"")</f>
        <v>&amp;</v>
      </c>
      <c r="U45" s="2" t="n">
        <f aca="false">Calculations!M45</f>
        <v>31</v>
      </c>
      <c r="V45" s="2" t="str">
        <f aca="false">IF(Calculations!A45,Settings!$B$5,"")</f>
        <v>&amp;</v>
      </c>
      <c r="W45" s="2" t="str">
        <f aca="false">Calculations!N45</f>
        <v>Images and Optical Instruments</v>
      </c>
      <c r="X45" s="2" t="str">
        <f aca="false">Calculations!O45</f>
        <v>\\*</v>
      </c>
      <c r="Y45" s="2" t="str">
        <f aca="false">IF(Calculations!P45="","",Calculations!P45)</f>
        <v/>
      </c>
    </row>
    <row r="46" customFormat="false" ht="13.8" hidden="false" customHeight="false" outlineLevel="0" collapsed="false">
      <c r="A46" s="23"/>
      <c r="B46" s="23"/>
      <c r="C46" s="2" t="str">
        <f aca="false">IF(Calculations!A46,Dates!D46,"")</f>
        <v/>
      </c>
      <c r="D46" s="2" t="n">
        <f aca="false">IF(Calculations!A46,1,"")</f>
        <v>1</v>
      </c>
      <c r="E46" s="2" t="n">
        <f aca="false">IF(Calculations!A46,Dates!I46,"")</f>
        <v>5</v>
      </c>
      <c r="F46" s="2" t="str">
        <f aca="false">IF(Calculations!A46,Dates!J46,"")</f>
        <v>May</v>
      </c>
      <c r="G46" s="11" t="n">
        <f aca="false">IF(Calculations!A46,Dates!K46,"")</f>
        <v>7</v>
      </c>
      <c r="H46" s="2" t="str">
        <f aca="false">IF(Calculations!A46,Dates!H46,"")</f>
        <v>Fr</v>
      </c>
      <c r="I46" s="12" t="n">
        <v>32</v>
      </c>
      <c r="J46" s="12" t="s">
        <v>49</v>
      </c>
      <c r="K46" s="2" t="n">
        <f aca="false">IF(ISNUMBER(I46),1,0)</f>
        <v>1</v>
      </c>
      <c r="M46" s="2" t="str">
        <f aca="false">Calculations!I46</f>
        <v/>
      </c>
      <c r="N46" s="2" t="str">
        <f aca="false">IF(Calculations!A46,Settings!$B$5,"")</f>
        <v>&amp;</v>
      </c>
      <c r="O46" s="2" t="str">
        <f aca="false">Calculations!J46</f>
        <v/>
      </c>
      <c r="P46" s="2" t="str">
        <f aca="false">IF(Calculations!A46,Settings!$B$5,"")</f>
        <v>&amp;</v>
      </c>
      <c r="Q46" s="2" t="str">
        <f aca="false">Calculations!K46</f>
        <v>07</v>
      </c>
      <c r="R46" s="2" t="str">
        <f aca="false">IF(Calculations!A46,Settings!$B$5,"")</f>
        <v>&amp;</v>
      </c>
      <c r="S46" s="2" t="str">
        <f aca="false">Calculations!L46</f>
        <v>Fr</v>
      </c>
      <c r="T46" s="2" t="str">
        <f aca="false">IF(Calculations!A46,Settings!$B$5,"")</f>
        <v>&amp;</v>
      </c>
      <c r="U46" s="2" t="n">
        <f aca="false">Calculations!M46</f>
        <v>32</v>
      </c>
      <c r="V46" s="2" t="str">
        <f aca="false">IF(Calculations!A46,Settings!$B$5,"")</f>
        <v>&amp;</v>
      </c>
      <c r="W46" s="2" t="str">
        <f aca="false">Calculations!N46</f>
        <v> Interference and Diffraction</v>
      </c>
      <c r="X46" s="2" t="str">
        <f aca="false">Calculations!O46</f>
        <v>\\</v>
      </c>
      <c r="Y46" s="2" t="str">
        <f aca="false">IF(Calculations!P46="","",Calculations!P46)</f>
        <v>\hline</v>
      </c>
    </row>
    <row r="47" customFormat="false" ht="13.8" hidden="false" customHeight="false" outlineLevel="0" collapsed="false">
      <c r="A47" s="23"/>
      <c r="B47" s="23"/>
      <c r="C47" s="2" t="str">
        <f aca="false">IF(Calculations!A47,Dates!D47,"")</f>
        <v>W16</v>
      </c>
      <c r="D47" s="2" t="n">
        <f aca="false">IF(Calculations!A47,1,"")</f>
        <v>1</v>
      </c>
      <c r="E47" s="2" t="n">
        <f aca="false">IF(Calculations!A47,Dates!I47,"")</f>
        <v>5</v>
      </c>
      <c r="F47" s="2" t="str">
        <f aca="false">IF(Calculations!A47,Dates!J47,"")</f>
        <v>May</v>
      </c>
      <c r="G47" s="11" t="n">
        <f aca="false">IF(Calculations!A47,Dates!K47,"")</f>
        <v>10</v>
      </c>
      <c r="H47" s="2" t="str">
        <f aca="false">IF(Calculations!A47,Dates!H47,"")</f>
        <v>Mo</v>
      </c>
      <c r="I47" s="12" t="n">
        <v>32</v>
      </c>
      <c r="J47" s="12" t="s">
        <v>49</v>
      </c>
      <c r="K47" s="2" t="n">
        <f aca="false">IF(ISNUMBER(I47),1,0)</f>
        <v>1</v>
      </c>
      <c r="M47" s="2" t="str">
        <f aca="false">Calculations!I47</f>
        <v>\multirow{2}{*}{W16}</v>
      </c>
      <c r="N47" s="2" t="str">
        <f aca="false">IF(Calculations!A47,Settings!$B$5,"")</f>
        <v>&amp;</v>
      </c>
      <c r="O47" s="2" t="str">
        <f aca="false">Calculations!J47</f>
        <v>\multirow{2}{*}{May}</v>
      </c>
      <c r="P47" s="2" t="str">
        <f aca="false">IF(Calculations!A47,Settings!$B$5,"")</f>
        <v>&amp;</v>
      </c>
      <c r="Q47" s="2" t="str">
        <f aca="false">Calculations!K47</f>
        <v>10</v>
      </c>
      <c r="R47" s="2" t="str">
        <f aca="false">IF(Calculations!A47,Settings!$B$5,"")</f>
        <v>&amp;</v>
      </c>
      <c r="S47" s="2" t="str">
        <f aca="false">Calculations!L47</f>
        <v>Mo\rule{0pt}{11pt}</v>
      </c>
      <c r="T47" s="2" t="str">
        <f aca="false">IF(Calculations!A47,Settings!$B$5,"")</f>
        <v>&amp;</v>
      </c>
      <c r="U47" s="2" t="n">
        <f aca="false">Calculations!M47</f>
        <v>32</v>
      </c>
      <c r="V47" s="2" t="str">
        <f aca="false">IF(Calculations!A47,Settings!$B$5,"")</f>
        <v>&amp;</v>
      </c>
      <c r="W47" s="2" t="str">
        <f aca="false">Calculations!N47</f>
        <v> Interference and Diffraction</v>
      </c>
      <c r="X47" s="2" t="str">
        <f aca="false">Calculations!O47</f>
        <v>\\*</v>
      </c>
      <c r="Y47" s="2" t="str">
        <f aca="false">IF(Calculations!P47="","",Calculations!P47)</f>
        <v/>
      </c>
    </row>
    <row r="48" customFormat="false" ht="13.8" hidden="false" customHeight="false" outlineLevel="0" collapsed="false">
      <c r="A48" s="23"/>
      <c r="B48" s="23"/>
      <c r="C48" s="2" t="str">
        <f aca="false">IF(Calculations!A48,Dates!D48,"")</f>
        <v/>
      </c>
      <c r="D48" s="2" t="n">
        <f aca="false">IF(Calculations!A48,1,"")</f>
        <v>1</v>
      </c>
      <c r="E48" s="2" t="n">
        <f aca="false">IF(Calculations!A48,Dates!I48,"")</f>
        <v>5</v>
      </c>
      <c r="F48" s="2" t="str">
        <f aca="false">IF(Calculations!A48,Dates!J48,"")</f>
        <v>May</v>
      </c>
      <c r="G48" s="11" t="n">
        <f aca="false">IF(Calculations!A48,Dates!K48,"")</f>
        <v>12</v>
      </c>
      <c r="H48" s="2" t="str">
        <f aca="false">IF(Calculations!A48,Dates!H48,"")</f>
        <v>We</v>
      </c>
      <c r="I48" s="12" t="n">
        <v>32</v>
      </c>
      <c r="J48" s="12" t="s">
        <v>49</v>
      </c>
      <c r="K48" s="2" t="n">
        <f aca="false">IF(ISNUMBER(I48),1,0)</f>
        <v>1</v>
      </c>
      <c r="M48" s="2" t="str">
        <f aca="false">Calculations!I48</f>
        <v/>
      </c>
      <c r="N48" s="2" t="str">
        <f aca="false">IF(Calculations!A48,Settings!$B$5,"")</f>
        <v>&amp;</v>
      </c>
      <c r="O48" s="2" t="str">
        <f aca="false">Calculations!J48</f>
        <v/>
      </c>
      <c r="P48" s="2" t="str">
        <f aca="false">IF(Calculations!A48,Settings!$B$5,"")</f>
        <v>&amp;</v>
      </c>
      <c r="Q48" s="2" t="str">
        <f aca="false">Calculations!K48</f>
        <v>12</v>
      </c>
      <c r="R48" s="2" t="str">
        <f aca="false">IF(Calculations!A48,Settings!$B$5,"")</f>
        <v>&amp;</v>
      </c>
      <c r="S48" s="2" t="str">
        <f aca="false">Calculations!L48</f>
        <v>We</v>
      </c>
      <c r="T48" s="2" t="str">
        <f aca="false">IF(Calculations!A48,Settings!$B$5,"")</f>
        <v>&amp;</v>
      </c>
      <c r="U48" s="2" t="n">
        <f aca="false">Calculations!M48</f>
        <v>32</v>
      </c>
      <c r="V48" s="2" t="str">
        <f aca="false">IF(Calculations!A48,Settings!$B$5,"")</f>
        <v>&amp;</v>
      </c>
      <c r="W48" s="2" t="str">
        <f aca="false">Calculations!N48</f>
        <v> Interference and Diffraction</v>
      </c>
      <c r="X48" s="2" t="str">
        <f aca="false">Calculations!O48</f>
        <v>\\</v>
      </c>
      <c r="Y48" s="2" t="str">
        <f aca="false">IF(Calculations!P48="","",Calculations!P48)</f>
        <v>\hline</v>
      </c>
    </row>
    <row r="49" customFormat="false" ht="13.8" hidden="false" customHeight="false" outlineLevel="0" collapsed="false">
      <c r="A49" s="23"/>
      <c r="B49" s="23"/>
      <c r="C49" s="2" t="str">
        <f aca="false">IF(Calculations!A49,Dates!D49,"")</f>
        <v/>
      </c>
      <c r="D49" s="2" t="str">
        <f aca="false">IF(Calculations!A49,1,"")</f>
        <v/>
      </c>
      <c r="E49" s="2" t="str">
        <f aca="false">IF(Calculations!A49,Dates!I49,"")</f>
        <v/>
      </c>
      <c r="F49" s="2" t="str">
        <f aca="false">IF(Calculations!A49,Dates!J49,"")</f>
        <v/>
      </c>
      <c r="G49" s="11" t="str">
        <f aca="false">IF(Calculations!A49,Dates!K49,"")</f>
        <v/>
      </c>
      <c r="H49" s="2" t="str">
        <f aca="false">IF(Calculations!A49,Dates!H49,"")</f>
        <v/>
      </c>
      <c r="I49" s="12"/>
      <c r="J49" s="12"/>
      <c r="K49" s="2" t="n">
        <f aca="false">IF(ISNUMBER(I49),1,0)</f>
        <v>0</v>
      </c>
      <c r="M49" s="2" t="str">
        <f aca="false">Calculations!I49</f>
        <v/>
      </c>
      <c r="N49" s="2" t="str">
        <f aca="false">IF(Calculations!A49,Settings!$B$5,"")</f>
        <v/>
      </c>
      <c r="O49" s="2" t="str">
        <f aca="false">Calculations!J49</f>
        <v/>
      </c>
      <c r="P49" s="2" t="str">
        <f aca="false">IF(Calculations!A49,Settings!$B$5,"")</f>
        <v/>
      </c>
      <c r="Q49" s="2" t="str">
        <f aca="false">Calculations!K49</f>
        <v/>
      </c>
      <c r="R49" s="2" t="str">
        <f aca="false">IF(Calculations!A49,Settings!$B$5,"")</f>
        <v/>
      </c>
      <c r="S49" s="2" t="str">
        <f aca="false">Calculations!L49</f>
        <v/>
      </c>
      <c r="T49" s="2" t="str">
        <f aca="false">IF(Calculations!A49,Settings!$B$5,"")</f>
        <v/>
      </c>
      <c r="U49" s="2" t="str">
        <f aca="false">Calculations!M49</f>
        <v/>
      </c>
      <c r="V49" s="2" t="str">
        <f aca="false">IF(Calculations!A49,Settings!$B$5,"")</f>
        <v/>
      </c>
      <c r="W49" s="2" t="str">
        <f aca="false">Calculations!N49</f>
        <v/>
      </c>
      <c r="X49" s="2" t="str">
        <f aca="false">Calculations!O49</f>
        <v/>
      </c>
      <c r="Y49" s="2" t="str">
        <f aca="false">IF(Calculations!P49="","",Calculations!P49)</f>
        <v/>
      </c>
    </row>
    <row r="50" customFormat="false" ht="13.8" hidden="false" customHeight="false" outlineLevel="0" collapsed="false">
      <c r="A50" s="23"/>
      <c r="B50" s="23"/>
      <c r="C50" s="2" t="str">
        <f aca="false">IF(Calculations!A50,Dates!D50,"")</f>
        <v/>
      </c>
      <c r="D50" s="2" t="str">
        <f aca="false">IF(Calculations!A50,1,"")</f>
        <v/>
      </c>
      <c r="E50" s="2" t="str">
        <f aca="false">IF(Calculations!A50,Dates!I50,"")</f>
        <v/>
      </c>
      <c r="F50" s="2" t="str">
        <f aca="false">IF(Calculations!A50,Dates!J50,"")</f>
        <v/>
      </c>
      <c r="G50" s="11" t="str">
        <f aca="false">IF(Calculations!A50,Dates!K50,"")</f>
        <v/>
      </c>
      <c r="H50" s="2" t="str">
        <f aca="false">IF(Calculations!A50,Dates!H50,"")</f>
        <v/>
      </c>
      <c r="I50" s="12"/>
      <c r="J50" s="12"/>
      <c r="K50" s="2" t="n">
        <f aca="false">IF(ISNUMBER(I50),1,0)</f>
        <v>0</v>
      </c>
      <c r="M50" s="2" t="str">
        <f aca="false">Calculations!I50</f>
        <v/>
      </c>
      <c r="N50" s="2" t="str">
        <f aca="false">IF(Calculations!A50,Settings!$B$5,"")</f>
        <v/>
      </c>
      <c r="O50" s="2" t="str">
        <f aca="false">Calculations!J50</f>
        <v/>
      </c>
      <c r="P50" s="2" t="str">
        <f aca="false">IF(Calculations!A50,Settings!$B$5,"")</f>
        <v/>
      </c>
      <c r="Q50" s="2" t="str">
        <f aca="false">Calculations!K50</f>
        <v/>
      </c>
      <c r="R50" s="2" t="str">
        <f aca="false">IF(Calculations!A50,Settings!$B$5,"")</f>
        <v/>
      </c>
      <c r="S50" s="2" t="str">
        <f aca="false">Calculations!L50</f>
        <v/>
      </c>
      <c r="T50" s="2" t="str">
        <f aca="false">IF(Calculations!A50,Settings!$B$5,"")</f>
        <v/>
      </c>
      <c r="U50" s="2" t="str">
        <f aca="false">Calculations!M50</f>
        <v/>
      </c>
      <c r="V50" s="2" t="str">
        <f aca="false">IF(Calculations!A50,Settings!$B$5,"")</f>
        <v/>
      </c>
      <c r="W50" s="2" t="str">
        <f aca="false">Calculations!N50</f>
        <v/>
      </c>
      <c r="X50" s="2" t="str">
        <f aca="false">Calculations!O50</f>
        <v/>
      </c>
      <c r="Y50" s="2" t="str">
        <f aca="false">IF(Calculations!P50="","",Calculations!P50)</f>
        <v/>
      </c>
    </row>
    <row r="51" customFormat="false" ht="13.8" hidden="false" customHeight="false" outlineLevel="0" collapsed="false">
      <c r="A51" s="23"/>
      <c r="B51" s="23"/>
      <c r="C51" s="2" t="str">
        <f aca="false">IF(Calculations!A51,Dates!D51,"")</f>
        <v/>
      </c>
      <c r="D51" s="2" t="str">
        <f aca="false">IF(Calculations!A51,1,"")</f>
        <v/>
      </c>
      <c r="E51" s="2" t="str">
        <f aca="false">IF(Calculations!A51,Dates!I51,"")</f>
        <v/>
      </c>
      <c r="F51" s="2" t="str">
        <f aca="false">IF(Calculations!A51,Dates!J51,"")</f>
        <v/>
      </c>
      <c r="G51" s="11" t="str">
        <f aca="false">IF(Calculations!A51,Dates!K51,"")</f>
        <v/>
      </c>
      <c r="H51" s="2" t="str">
        <f aca="false">IF(Calculations!A51,Dates!H51,"")</f>
        <v/>
      </c>
      <c r="I51" s="12"/>
      <c r="J51" s="12"/>
      <c r="K51" s="2" t="n">
        <f aca="false">IF(ISNUMBER(I51),1,0)</f>
        <v>0</v>
      </c>
      <c r="M51" s="2" t="str">
        <f aca="false">Calculations!I51</f>
        <v/>
      </c>
      <c r="N51" s="2" t="str">
        <f aca="false">IF(Calculations!A51,Settings!$B$5,"")</f>
        <v/>
      </c>
      <c r="O51" s="2" t="str">
        <f aca="false">Calculations!J51</f>
        <v/>
      </c>
      <c r="P51" s="2" t="str">
        <f aca="false">IF(Calculations!A51,Settings!$B$5,"")</f>
        <v/>
      </c>
      <c r="Q51" s="2" t="str">
        <f aca="false">Calculations!K51</f>
        <v/>
      </c>
      <c r="R51" s="2" t="str">
        <f aca="false">IF(Calculations!A51,Settings!$B$5,"")</f>
        <v/>
      </c>
      <c r="S51" s="2" t="str">
        <f aca="false">Calculations!L51</f>
        <v/>
      </c>
      <c r="T51" s="2" t="str">
        <f aca="false">IF(Calculations!A51,Settings!$B$5,"")</f>
        <v/>
      </c>
      <c r="U51" s="2" t="str">
        <f aca="false">Calculations!M51</f>
        <v/>
      </c>
      <c r="V51" s="2" t="str">
        <f aca="false">IF(Calculations!A51,Settings!$B$5,"")</f>
        <v/>
      </c>
      <c r="W51" s="2" t="str">
        <f aca="false">Calculations!N51</f>
        <v/>
      </c>
      <c r="X51" s="2" t="str">
        <f aca="false">Calculations!O51</f>
        <v/>
      </c>
      <c r="Y51" s="2" t="str">
        <f aca="false">IF(Calculations!P51="","",Calculations!P51)</f>
        <v/>
      </c>
    </row>
    <row r="52" customFormat="false" ht="13.8" hidden="false" customHeight="false" outlineLevel="0" collapsed="false">
      <c r="A52" s="23"/>
      <c r="B52" s="23"/>
      <c r="C52" s="2" t="str">
        <f aca="false">IF(Calculations!A52,Dates!D52,"")</f>
        <v/>
      </c>
      <c r="D52" s="2" t="str">
        <f aca="false">IF(Calculations!A52,1,"")</f>
        <v/>
      </c>
      <c r="E52" s="2" t="str">
        <f aca="false">IF(Calculations!A52,Dates!I52,"")</f>
        <v/>
      </c>
      <c r="F52" s="2" t="str">
        <f aca="false">IF(Calculations!A52,Dates!J52,"")</f>
        <v/>
      </c>
      <c r="G52" s="11" t="str">
        <f aca="false">IF(Calculations!A52,Dates!K52,"")</f>
        <v/>
      </c>
      <c r="H52" s="2" t="str">
        <f aca="false">IF(Calculations!A52,Dates!H52,"")</f>
        <v/>
      </c>
      <c r="I52" s="12"/>
      <c r="J52" s="12"/>
      <c r="K52" s="2" t="n">
        <f aca="false">IF(ISNUMBER(I52),1,0)</f>
        <v>0</v>
      </c>
      <c r="M52" s="2" t="str">
        <f aca="false">Calculations!I52</f>
        <v/>
      </c>
      <c r="N52" s="2" t="str">
        <f aca="false">IF(Calculations!A52,Settings!$B$5,"")</f>
        <v/>
      </c>
      <c r="O52" s="2" t="str">
        <f aca="false">Calculations!J52</f>
        <v/>
      </c>
      <c r="P52" s="2" t="str">
        <f aca="false">IF(Calculations!A52,Settings!$B$5,"")</f>
        <v/>
      </c>
      <c r="Q52" s="2" t="str">
        <f aca="false">Calculations!K52</f>
        <v/>
      </c>
      <c r="R52" s="2" t="str">
        <f aca="false">IF(Calculations!A52,Settings!$B$5,"")</f>
        <v/>
      </c>
      <c r="S52" s="2" t="str">
        <f aca="false">Calculations!L52</f>
        <v/>
      </c>
      <c r="T52" s="2" t="str">
        <f aca="false">IF(Calculations!A52,Settings!$B$5,"")</f>
        <v/>
      </c>
      <c r="U52" s="2" t="str">
        <f aca="false">Calculations!M52</f>
        <v/>
      </c>
      <c r="V52" s="2" t="str">
        <f aca="false">IF(Calculations!A52,Settings!$B$5,"")</f>
        <v/>
      </c>
      <c r="W52" s="2" t="str">
        <f aca="false">Calculations!N52</f>
        <v/>
      </c>
      <c r="X52" s="2" t="str">
        <f aca="false">Calculations!O52</f>
        <v/>
      </c>
      <c r="Y52" s="2" t="str">
        <f aca="false">IF(Calculations!P52="","",Calculations!P52)</f>
        <v/>
      </c>
    </row>
    <row r="53" customFormat="false" ht="13.8" hidden="false" customHeight="false" outlineLevel="0" collapsed="false">
      <c r="A53" s="23"/>
      <c r="B53" s="23"/>
      <c r="C53" s="2" t="str">
        <f aca="false">IF(Calculations!A53,Dates!D53,"")</f>
        <v/>
      </c>
      <c r="D53" s="2" t="str">
        <f aca="false">IF(Calculations!A53,1,"")</f>
        <v/>
      </c>
      <c r="E53" s="2" t="str">
        <f aca="false">IF(Calculations!A53,Dates!I53,"")</f>
        <v/>
      </c>
      <c r="F53" s="2" t="str">
        <f aca="false">IF(Calculations!A53,Dates!J53,"")</f>
        <v/>
      </c>
      <c r="G53" s="11" t="str">
        <f aca="false">IF(Calculations!A53,Dates!K53,"")</f>
        <v/>
      </c>
      <c r="H53" s="2" t="str">
        <f aca="false">IF(Calculations!A53,Dates!H53,"")</f>
        <v/>
      </c>
      <c r="I53" s="12"/>
      <c r="J53" s="12"/>
      <c r="K53" s="2" t="n">
        <f aca="false">IF(ISNUMBER(I53),1,0)</f>
        <v>0</v>
      </c>
      <c r="M53" s="2" t="str">
        <f aca="false">Calculations!I53</f>
        <v/>
      </c>
      <c r="N53" s="2" t="str">
        <f aca="false">IF(Calculations!A53,Settings!$B$5,"")</f>
        <v/>
      </c>
      <c r="O53" s="2" t="str">
        <f aca="false">Calculations!J53</f>
        <v/>
      </c>
      <c r="P53" s="2" t="str">
        <f aca="false">IF(Calculations!A53,Settings!$B$5,"")</f>
        <v/>
      </c>
      <c r="Q53" s="2" t="str">
        <f aca="false">Calculations!K53</f>
        <v/>
      </c>
      <c r="R53" s="2" t="str">
        <f aca="false">IF(Calculations!A53,Settings!$B$5,"")</f>
        <v/>
      </c>
      <c r="S53" s="2" t="str">
        <f aca="false">Calculations!L53</f>
        <v/>
      </c>
      <c r="T53" s="2" t="str">
        <f aca="false">IF(Calculations!A53,Settings!$B$5,"")</f>
        <v/>
      </c>
      <c r="U53" s="2" t="str">
        <f aca="false">Calculations!M53</f>
        <v/>
      </c>
      <c r="V53" s="2" t="str">
        <f aca="false">IF(Calculations!A53,Settings!$B$5,"")</f>
        <v/>
      </c>
      <c r="W53" s="2" t="str">
        <f aca="false">Calculations!N53</f>
        <v/>
      </c>
      <c r="X53" s="2" t="str">
        <f aca="false">Calculations!O53</f>
        <v/>
      </c>
      <c r="Y53" s="2" t="str">
        <f aca="false">IF(Calculations!P53="","",Calculations!P53)</f>
        <v/>
      </c>
    </row>
    <row r="54" customFormat="false" ht="13.8" hidden="false" customHeight="false" outlineLevel="0" collapsed="false">
      <c r="A54" s="23"/>
      <c r="B54" s="23"/>
      <c r="C54" s="2" t="str">
        <f aca="false">IF(Calculations!A54,Dates!D54,"")</f>
        <v/>
      </c>
      <c r="D54" s="2" t="str">
        <f aca="false">IF(Calculations!A54,1,"")</f>
        <v/>
      </c>
      <c r="E54" s="2" t="str">
        <f aca="false">IF(Calculations!A54,Dates!I54,"")</f>
        <v/>
      </c>
      <c r="F54" s="2" t="str">
        <f aca="false">IF(Calculations!A54,Dates!J54,"")</f>
        <v/>
      </c>
      <c r="G54" s="11" t="str">
        <f aca="false">IF(Calculations!A54,Dates!K54,"")</f>
        <v/>
      </c>
      <c r="H54" s="2" t="str">
        <f aca="false">IF(Calculations!A54,Dates!H54,"")</f>
        <v/>
      </c>
      <c r="I54" s="12"/>
      <c r="J54" s="12"/>
      <c r="K54" s="2" t="n">
        <f aca="false">IF(ISNUMBER(I54),1,0)</f>
        <v>0</v>
      </c>
      <c r="M54" s="2" t="str">
        <f aca="false">Calculations!I54</f>
        <v/>
      </c>
      <c r="N54" s="2" t="str">
        <f aca="false">IF(Calculations!A54,Settings!$B$5,"")</f>
        <v/>
      </c>
      <c r="O54" s="2" t="str">
        <f aca="false">Calculations!J54</f>
        <v/>
      </c>
      <c r="P54" s="2" t="str">
        <f aca="false">IF(Calculations!A54,Settings!$B$5,"")</f>
        <v/>
      </c>
      <c r="Q54" s="2" t="str">
        <f aca="false">Calculations!K54</f>
        <v/>
      </c>
      <c r="R54" s="2" t="str">
        <f aca="false">IF(Calculations!A54,Settings!$B$5,"")</f>
        <v/>
      </c>
      <c r="S54" s="2" t="str">
        <f aca="false">Calculations!L54</f>
        <v/>
      </c>
      <c r="T54" s="2" t="str">
        <f aca="false">IF(Calculations!A54,Settings!$B$5,"")</f>
        <v/>
      </c>
      <c r="U54" s="2" t="str">
        <f aca="false">Calculations!M54</f>
        <v/>
      </c>
      <c r="V54" s="2" t="str">
        <f aca="false">IF(Calculations!A54,Settings!$B$5,"")</f>
        <v/>
      </c>
      <c r="W54" s="2" t="str">
        <f aca="false">Calculations!N54</f>
        <v/>
      </c>
      <c r="X54" s="2" t="str">
        <f aca="false">Calculations!O54</f>
        <v/>
      </c>
      <c r="Y54" s="2" t="str">
        <f aca="false">IF(Calculations!P54="","",Calculations!P54)</f>
        <v/>
      </c>
    </row>
    <row r="55" customFormat="false" ht="13.8" hidden="false" customHeight="false" outlineLevel="0" collapsed="false">
      <c r="A55" s="23"/>
      <c r="B55" s="23"/>
      <c r="C55" s="2" t="str">
        <f aca="false">IF(Calculations!A55,Dates!D55,"")</f>
        <v/>
      </c>
      <c r="D55" s="2" t="str">
        <f aca="false">IF(Calculations!A55,1,"")</f>
        <v/>
      </c>
      <c r="E55" s="2" t="str">
        <f aca="false">IF(Calculations!A55,Dates!I55,"")</f>
        <v/>
      </c>
      <c r="F55" s="2" t="str">
        <f aca="false">IF(Calculations!A55,Dates!J55,"")</f>
        <v/>
      </c>
      <c r="G55" s="11" t="str">
        <f aca="false">IF(Calculations!A55,Dates!K55,"")</f>
        <v/>
      </c>
      <c r="H55" s="2" t="str">
        <f aca="false">IF(Calculations!A55,Dates!H55,"")</f>
        <v/>
      </c>
      <c r="I55" s="12"/>
      <c r="J55" s="12"/>
      <c r="K55" s="2" t="n">
        <f aca="false">IF(ISNUMBER(I55),1,0)</f>
        <v>0</v>
      </c>
      <c r="M55" s="2" t="str">
        <f aca="false">Calculations!I55</f>
        <v/>
      </c>
      <c r="N55" s="2" t="str">
        <f aca="false">IF(Calculations!A55,Settings!$B$5,"")</f>
        <v/>
      </c>
      <c r="O55" s="2" t="str">
        <f aca="false">Calculations!J55</f>
        <v/>
      </c>
      <c r="P55" s="2" t="str">
        <f aca="false">IF(Calculations!A55,Settings!$B$5,"")</f>
        <v/>
      </c>
      <c r="Q55" s="2" t="str">
        <f aca="false">Calculations!K55</f>
        <v/>
      </c>
      <c r="R55" s="2" t="str">
        <f aca="false">IF(Calculations!A55,Settings!$B$5,"")</f>
        <v/>
      </c>
      <c r="S55" s="2" t="str">
        <f aca="false">Calculations!L55</f>
        <v/>
      </c>
      <c r="T55" s="2" t="str">
        <f aca="false">IF(Calculations!A55,Settings!$B$5,"")</f>
        <v/>
      </c>
      <c r="U55" s="2" t="str">
        <f aca="false">Calculations!M55</f>
        <v/>
      </c>
      <c r="V55" s="2" t="str">
        <f aca="false">IF(Calculations!A55,Settings!$B$5,"")</f>
        <v/>
      </c>
      <c r="W55" s="2" t="str">
        <f aca="false">Calculations!N55</f>
        <v/>
      </c>
      <c r="X55" s="2" t="str">
        <f aca="false">Calculations!O55</f>
        <v/>
      </c>
      <c r="Y55" s="2" t="str">
        <f aca="false">IF(Calculations!P55="","",Calculations!P55)</f>
        <v/>
      </c>
    </row>
    <row r="56" customFormat="false" ht="13.8" hidden="false" customHeight="false" outlineLevel="0" collapsed="false">
      <c r="A56" s="23"/>
      <c r="B56" s="23"/>
      <c r="C56" s="2" t="str">
        <f aca="false">IF(Calculations!A56,Dates!D56,"")</f>
        <v/>
      </c>
      <c r="D56" s="2" t="str">
        <f aca="false">IF(Calculations!A56,1,"")</f>
        <v/>
      </c>
      <c r="E56" s="2" t="str">
        <f aca="false">IF(Calculations!A56,Dates!I56,"")</f>
        <v/>
      </c>
      <c r="F56" s="2" t="str">
        <f aca="false">IF(Calculations!A56,Dates!J56,"")</f>
        <v/>
      </c>
      <c r="G56" s="11" t="str">
        <f aca="false">IF(Calculations!A56,Dates!K56,"")</f>
        <v/>
      </c>
      <c r="H56" s="2" t="str">
        <f aca="false">IF(Calculations!A56,Dates!H56,"")</f>
        <v/>
      </c>
      <c r="I56" s="12"/>
      <c r="J56" s="12"/>
      <c r="K56" s="2" t="n">
        <f aca="false">IF(ISNUMBER(I56),1,0)</f>
        <v>0</v>
      </c>
      <c r="M56" s="2" t="str">
        <f aca="false">Calculations!I56</f>
        <v/>
      </c>
      <c r="N56" s="2" t="str">
        <f aca="false">IF(Calculations!A56,Settings!$B$5,"")</f>
        <v/>
      </c>
      <c r="O56" s="2" t="str">
        <f aca="false">Calculations!J56</f>
        <v/>
      </c>
      <c r="P56" s="2" t="str">
        <f aca="false">IF(Calculations!A56,Settings!$B$5,"")</f>
        <v/>
      </c>
      <c r="Q56" s="2" t="str">
        <f aca="false">Calculations!K56</f>
        <v/>
      </c>
      <c r="R56" s="2" t="str">
        <f aca="false">IF(Calculations!A56,Settings!$B$5,"")</f>
        <v/>
      </c>
      <c r="S56" s="2" t="str">
        <f aca="false">Calculations!L56</f>
        <v/>
      </c>
      <c r="T56" s="2" t="str">
        <f aca="false">IF(Calculations!A56,Settings!$B$5,"")</f>
        <v/>
      </c>
      <c r="U56" s="2" t="str">
        <f aca="false">Calculations!M56</f>
        <v/>
      </c>
      <c r="V56" s="2" t="str">
        <f aca="false">IF(Calculations!A56,Settings!$B$5,"")</f>
        <v/>
      </c>
      <c r="W56" s="2" t="str">
        <f aca="false">Calculations!N56</f>
        <v/>
      </c>
      <c r="X56" s="2" t="str">
        <f aca="false">Calculations!O56</f>
        <v/>
      </c>
      <c r="Y56" s="2" t="str">
        <f aca="false">IF(Calculations!P56="","",Calculations!P56)</f>
        <v/>
      </c>
    </row>
    <row r="57" customFormat="false" ht="13.8" hidden="false" customHeight="false" outlineLevel="0" collapsed="false">
      <c r="A57" s="23"/>
      <c r="B57" s="23"/>
      <c r="C57" s="2" t="str">
        <f aca="false">IF(Calculations!A57,Dates!D57,"")</f>
        <v/>
      </c>
      <c r="D57" s="2" t="str">
        <f aca="false">IF(Calculations!A57,1,"")</f>
        <v/>
      </c>
      <c r="E57" s="2" t="str">
        <f aca="false">IF(Calculations!A57,Dates!I57,"")</f>
        <v/>
      </c>
      <c r="F57" s="2" t="str">
        <f aca="false">IF(Calculations!A57,Dates!J57,"")</f>
        <v/>
      </c>
      <c r="G57" s="11" t="str">
        <f aca="false">IF(Calculations!A57,Dates!K57,"")</f>
        <v/>
      </c>
      <c r="H57" s="2" t="str">
        <f aca="false">IF(Calculations!A57,Dates!H57,"")</f>
        <v/>
      </c>
      <c r="I57" s="12"/>
      <c r="J57" s="12"/>
      <c r="K57" s="2" t="n">
        <f aca="false">IF(ISNUMBER(I57),1,0)</f>
        <v>0</v>
      </c>
      <c r="L57" s="2"/>
      <c r="M57" s="2" t="str">
        <f aca="false">Calculations!I57</f>
        <v/>
      </c>
      <c r="N57" s="2" t="str">
        <f aca="false">IF(Calculations!A57,Settings!$B$5,"")</f>
        <v/>
      </c>
      <c r="O57" s="2" t="str">
        <f aca="false">Calculations!J57</f>
        <v/>
      </c>
      <c r="P57" s="2" t="str">
        <f aca="false">IF(Calculations!A57,Settings!$B$5,"")</f>
        <v/>
      </c>
      <c r="Q57" s="2" t="str">
        <f aca="false">Calculations!K57</f>
        <v/>
      </c>
      <c r="R57" s="2" t="str">
        <f aca="false">IF(Calculations!A57,Settings!$B$5,"")</f>
        <v/>
      </c>
      <c r="S57" s="2" t="str">
        <f aca="false">Calculations!L57</f>
        <v/>
      </c>
      <c r="T57" s="2" t="str">
        <f aca="false">IF(Calculations!A57,Settings!$B$5,"")</f>
        <v/>
      </c>
      <c r="U57" s="2" t="str">
        <f aca="false">Calculations!M57</f>
        <v/>
      </c>
      <c r="V57" s="2" t="str">
        <f aca="false">IF(Calculations!A57,Settings!$B$5,"")</f>
        <v/>
      </c>
      <c r="W57" s="2" t="str">
        <f aca="false">Calculations!N57</f>
        <v/>
      </c>
      <c r="X57" s="2" t="str">
        <f aca="false">Calculations!O57</f>
        <v/>
      </c>
      <c r="Y57" s="2" t="str">
        <f aca="false">IF(Calculations!P57="","",Calculations!P57)</f>
        <v/>
      </c>
    </row>
    <row r="58" customFormat="false" ht="13.8" hidden="false" customHeight="false" outlineLevel="0" collapsed="false">
      <c r="A58" s="23"/>
      <c r="B58" s="23"/>
      <c r="C58" s="2" t="str">
        <f aca="false">IF(Calculations!A58,Dates!D58,"")</f>
        <v/>
      </c>
      <c r="D58" s="2" t="str">
        <f aca="false">IF(Calculations!A58,1,"")</f>
        <v/>
      </c>
      <c r="E58" s="2" t="str">
        <f aca="false">IF(Calculations!A58,Dates!I58,"")</f>
        <v/>
      </c>
      <c r="F58" s="2" t="str">
        <f aca="false">IF(Calculations!A58,Dates!J58,"")</f>
        <v/>
      </c>
      <c r="G58" s="11" t="str">
        <f aca="false">IF(Calculations!A58,Dates!K58,"")</f>
        <v/>
      </c>
      <c r="H58" s="2" t="str">
        <f aca="false">IF(Calculations!A58,Dates!H58,"")</f>
        <v/>
      </c>
      <c r="I58" s="12"/>
      <c r="J58" s="16"/>
      <c r="K58" s="2" t="n">
        <f aca="false">IF(ISNUMBER(I58),1,0)</f>
        <v>0</v>
      </c>
      <c r="L58" s="2"/>
      <c r="M58" s="2" t="str">
        <f aca="false">Calculations!I58</f>
        <v/>
      </c>
      <c r="N58" s="2" t="str">
        <f aca="false">IF(Calculations!A58,Settings!$B$5,"")</f>
        <v/>
      </c>
      <c r="O58" s="2" t="str">
        <f aca="false">Calculations!J58</f>
        <v/>
      </c>
      <c r="P58" s="2" t="str">
        <f aca="false">IF(Calculations!A58,Settings!$B$5,"")</f>
        <v/>
      </c>
      <c r="Q58" s="2" t="str">
        <f aca="false">Calculations!K58</f>
        <v/>
      </c>
      <c r="R58" s="2" t="str">
        <f aca="false">IF(Calculations!A58,Settings!$B$5,"")</f>
        <v/>
      </c>
      <c r="S58" s="2" t="str">
        <f aca="false">Calculations!L58</f>
        <v/>
      </c>
      <c r="T58" s="2" t="str">
        <f aca="false">IF(Calculations!A58,Settings!$B$5,"")</f>
        <v/>
      </c>
      <c r="U58" s="2" t="str">
        <f aca="false">Calculations!M58</f>
        <v/>
      </c>
      <c r="V58" s="2" t="str">
        <f aca="false">IF(Calculations!A58,Settings!$B$5,"")</f>
        <v/>
      </c>
      <c r="W58" s="2" t="str">
        <f aca="false">Calculations!N58</f>
        <v/>
      </c>
      <c r="X58" s="2" t="str">
        <f aca="false">Calculations!O58</f>
        <v/>
      </c>
      <c r="Y58" s="2" t="str">
        <f aca="false">IF(Calculations!P58="","",Calculations!P58)</f>
        <v/>
      </c>
    </row>
    <row r="59" customFormat="false" ht="13.8" hidden="false" customHeight="false" outlineLevel="0" collapsed="false">
      <c r="A59" s="23"/>
      <c r="B59" s="23"/>
      <c r="C59" s="2" t="str">
        <f aca="false">IF(Calculations!A59,Dates!D59,"")</f>
        <v/>
      </c>
      <c r="D59" s="2" t="str">
        <f aca="false">IF(Calculations!A59,1,"")</f>
        <v/>
      </c>
      <c r="E59" s="2" t="str">
        <f aca="false">IF(Calculations!A59,Dates!I59,"")</f>
        <v/>
      </c>
      <c r="F59" s="2" t="str">
        <f aca="false">IF(Calculations!A59,Dates!J59,"")</f>
        <v/>
      </c>
      <c r="G59" s="11" t="str">
        <f aca="false">IF(Calculations!A59,Dates!K59,"")</f>
        <v/>
      </c>
      <c r="H59" s="2" t="str">
        <f aca="false">IF(Calculations!A59,Dates!H59,"")</f>
        <v/>
      </c>
      <c r="I59" s="12"/>
      <c r="J59" s="12"/>
      <c r="K59" s="2" t="n">
        <f aca="false">IF(ISNUMBER(I59),1,0)</f>
        <v>0</v>
      </c>
      <c r="L59" s="2"/>
      <c r="M59" s="2" t="str">
        <f aca="false">Calculations!I59</f>
        <v/>
      </c>
      <c r="N59" s="2" t="str">
        <f aca="false">IF(Calculations!A59,Settings!$B$5,"")</f>
        <v/>
      </c>
      <c r="O59" s="2" t="str">
        <f aca="false">Calculations!J59</f>
        <v/>
      </c>
      <c r="P59" s="2" t="str">
        <f aca="false">IF(Calculations!A59,Settings!$B$5,"")</f>
        <v/>
      </c>
      <c r="Q59" s="2" t="str">
        <f aca="false">Calculations!K59</f>
        <v/>
      </c>
      <c r="R59" s="2" t="str">
        <f aca="false">IF(Calculations!A59,Settings!$B$5,"")</f>
        <v/>
      </c>
      <c r="S59" s="2" t="str">
        <f aca="false">Calculations!L59</f>
        <v/>
      </c>
      <c r="T59" s="2" t="str">
        <f aca="false">IF(Calculations!A59,Settings!$B$5,"")</f>
        <v/>
      </c>
      <c r="U59" s="2" t="str">
        <f aca="false">Calculations!M59</f>
        <v/>
      </c>
      <c r="V59" s="2" t="str">
        <f aca="false">IF(Calculations!A59,Settings!$B$5,"")</f>
        <v/>
      </c>
      <c r="W59" s="2" t="str">
        <f aca="false">Calculations!N59</f>
        <v/>
      </c>
      <c r="X59" s="2" t="str">
        <f aca="false">Calculations!O59</f>
        <v/>
      </c>
      <c r="Y59" s="2" t="str">
        <f aca="false">IF(Calculations!P59="","",Calculations!P59)</f>
        <v/>
      </c>
    </row>
    <row r="60" customFormat="false" ht="13.8" hidden="false" customHeight="false" outlineLevel="0" collapsed="false">
      <c r="A60" s="23"/>
      <c r="B60" s="23"/>
      <c r="C60" s="2" t="str">
        <f aca="false">IF(Calculations!A60,Dates!D60,"")</f>
        <v/>
      </c>
      <c r="D60" s="2" t="str">
        <f aca="false">IF(Calculations!A60,1,"")</f>
        <v/>
      </c>
      <c r="E60" s="2" t="str">
        <f aca="false">IF(Calculations!A60,Dates!I60,"")</f>
        <v/>
      </c>
      <c r="F60" s="2" t="str">
        <f aca="false">IF(Calculations!A60,Dates!J60,"")</f>
        <v/>
      </c>
      <c r="G60" s="11" t="str">
        <f aca="false">IF(Calculations!A60,Dates!K60,"")</f>
        <v/>
      </c>
      <c r="H60" s="2" t="str">
        <f aca="false">IF(Calculations!A60,Dates!H60,"")</f>
        <v/>
      </c>
      <c r="I60" s="12"/>
      <c r="J60" s="12"/>
      <c r="K60" s="2" t="n">
        <f aca="false">IF(ISNUMBER(I60),1,0)</f>
        <v>0</v>
      </c>
      <c r="L60" s="2"/>
      <c r="M60" s="2" t="str">
        <f aca="false">Calculations!I60</f>
        <v/>
      </c>
      <c r="N60" s="2" t="str">
        <f aca="false">IF(Calculations!A60,Settings!$B$5,"")</f>
        <v/>
      </c>
      <c r="O60" s="2" t="str">
        <f aca="false">Calculations!J60</f>
        <v/>
      </c>
      <c r="P60" s="2" t="str">
        <f aca="false">IF(Calculations!A60,Settings!$B$5,"")</f>
        <v/>
      </c>
      <c r="Q60" s="2" t="str">
        <f aca="false">Calculations!K60</f>
        <v/>
      </c>
      <c r="R60" s="2" t="str">
        <f aca="false">IF(Calculations!A60,Settings!$B$5,"")</f>
        <v/>
      </c>
      <c r="S60" s="2" t="str">
        <f aca="false">Calculations!L60</f>
        <v/>
      </c>
      <c r="T60" s="2" t="str">
        <f aca="false">IF(Calculations!A60,Settings!$B$5,"")</f>
        <v/>
      </c>
      <c r="U60" s="2" t="str">
        <f aca="false">Calculations!M60</f>
        <v/>
      </c>
      <c r="V60" s="2" t="str">
        <f aca="false">IF(Calculations!A60,Settings!$B$5,"")</f>
        <v/>
      </c>
      <c r="W60" s="2" t="str">
        <f aca="false">Calculations!N60</f>
        <v/>
      </c>
      <c r="X60" s="2" t="str">
        <f aca="false">Calculations!O60</f>
        <v/>
      </c>
      <c r="Y60" s="2" t="str">
        <f aca="false">IF(Calculations!P60="","",Calculations!P60)</f>
        <v/>
      </c>
    </row>
    <row r="61" customFormat="false" ht="13.8" hidden="false" customHeight="false" outlineLevel="0" collapsed="false">
      <c r="A61" s="23"/>
      <c r="B61" s="23"/>
      <c r="C61" s="2" t="str">
        <f aca="false">IF(Calculations!A61,Dates!D61,"")</f>
        <v/>
      </c>
      <c r="D61" s="2" t="str">
        <f aca="false">IF(Calculations!A61,1,"")</f>
        <v/>
      </c>
      <c r="E61" s="2" t="str">
        <f aca="false">IF(Calculations!A61,Dates!I61,"")</f>
        <v/>
      </c>
      <c r="F61" s="2" t="str">
        <f aca="false">IF(Calculations!A61,Dates!J61,"")</f>
        <v/>
      </c>
      <c r="G61" s="11" t="str">
        <f aca="false">IF(Calculations!A61,Dates!K61,"")</f>
        <v/>
      </c>
      <c r="H61" s="2" t="str">
        <f aca="false">IF(Calculations!A61,Dates!H61,"")</f>
        <v/>
      </c>
      <c r="I61" s="12"/>
      <c r="J61" s="12"/>
      <c r="K61" s="2" t="n">
        <f aca="false">IF(ISNUMBER(I61),1,0)</f>
        <v>0</v>
      </c>
      <c r="L61" s="2"/>
      <c r="M61" s="2" t="str">
        <f aca="false">Calculations!I61</f>
        <v/>
      </c>
      <c r="N61" s="2" t="str">
        <f aca="false">IF(Calculations!A61,Settings!$B$5,"")</f>
        <v/>
      </c>
      <c r="O61" s="2" t="str">
        <f aca="false">Calculations!J61</f>
        <v/>
      </c>
      <c r="P61" s="2" t="str">
        <f aca="false">IF(Calculations!A61,Settings!$B$5,"")</f>
        <v/>
      </c>
      <c r="Q61" s="2" t="str">
        <f aca="false">Calculations!K61</f>
        <v/>
      </c>
      <c r="R61" s="2" t="str">
        <f aca="false">IF(Calculations!A61,Settings!$B$5,"")</f>
        <v/>
      </c>
      <c r="S61" s="2" t="str">
        <f aca="false">Calculations!L61</f>
        <v/>
      </c>
      <c r="T61" s="2" t="str">
        <f aca="false">IF(Calculations!A61,Settings!$B$5,"")</f>
        <v/>
      </c>
      <c r="U61" s="2" t="str">
        <f aca="false">Calculations!M61</f>
        <v/>
      </c>
      <c r="V61" s="2" t="str">
        <f aca="false">IF(Calculations!A61,Settings!$B$5,"")</f>
        <v/>
      </c>
      <c r="W61" s="2" t="str">
        <f aca="false">Calculations!N61</f>
        <v/>
      </c>
      <c r="X61" s="2" t="str">
        <f aca="false">Calculations!O61</f>
        <v/>
      </c>
      <c r="Y61" s="2" t="str">
        <f aca="false">IF(Calculations!P61="","",Calculations!P61)</f>
        <v/>
      </c>
    </row>
    <row r="62" customFormat="false" ht="13.8" hidden="false" customHeight="false" outlineLevel="0" collapsed="false">
      <c r="A62" s="23"/>
      <c r="B62" s="23"/>
      <c r="C62" s="2" t="str">
        <f aca="false">IF(Calculations!A62,Dates!D62,"")</f>
        <v/>
      </c>
      <c r="D62" s="2" t="str">
        <f aca="false">IF(Calculations!A62,1,"")</f>
        <v/>
      </c>
      <c r="E62" s="2" t="str">
        <f aca="false">IF(Calculations!A62,Dates!I62,"")</f>
        <v/>
      </c>
      <c r="F62" s="2" t="str">
        <f aca="false">IF(Calculations!A62,Dates!J62,"")</f>
        <v/>
      </c>
      <c r="G62" s="11" t="str">
        <f aca="false">IF(Calculations!A62,Dates!K62,"")</f>
        <v/>
      </c>
      <c r="H62" s="2" t="str">
        <f aca="false">IF(Calculations!A62,Dates!H62,"")</f>
        <v/>
      </c>
      <c r="I62" s="12"/>
      <c r="J62" s="12"/>
      <c r="K62" s="2" t="n">
        <f aca="false">IF(ISNUMBER(I62),1,0)</f>
        <v>0</v>
      </c>
      <c r="L62" s="2"/>
      <c r="M62" s="2" t="str">
        <f aca="false">Calculations!I62</f>
        <v/>
      </c>
      <c r="N62" s="2" t="str">
        <f aca="false">IF(Calculations!A62,Settings!$B$5,"")</f>
        <v/>
      </c>
      <c r="O62" s="2" t="str">
        <f aca="false">Calculations!J62</f>
        <v/>
      </c>
      <c r="P62" s="2" t="str">
        <f aca="false">IF(Calculations!A62,Settings!$B$5,"")</f>
        <v/>
      </c>
      <c r="Q62" s="2" t="str">
        <f aca="false">Calculations!K62</f>
        <v/>
      </c>
      <c r="R62" s="2" t="str">
        <f aca="false">IF(Calculations!A62,Settings!$B$5,"")</f>
        <v/>
      </c>
      <c r="S62" s="2" t="str">
        <f aca="false">Calculations!L62</f>
        <v/>
      </c>
      <c r="T62" s="2" t="str">
        <f aca="false">IF(Calculations!A62,Settings!$B$5,"")</f>
        <v/>
      </c>
      <c r="U62" s="2" t="str">
        <f aca="false">Calculations!M62</f>
        <v/>
      </c>
      <c r="V62" s="2" t="str">
        <f aca="false">IF(Calculations!A62,Settings!$B$5,"")</f>
        <v/>
      </c>
      <c r="W62" s="2" t="str">
        <f aca="false">Calculations!N62</f>
        <v/>
      </c>
      <c r="X62" s="2" t="str">
        <f aca="false">Calculations!O62</f>
        <v/>
      </c>
      <c r="Y62" s="2" t="str">
        <f aca="false">IF(Calculations!P62="","",Calculations!P62)</f>
        <v/>
      </c>
    </row>
    <row r="63" customFormat="false" ht="13.8" hidden="false" customHeight="false" outlineLevel="0" collapsed="false">
      <c r="A63" s="23"/>
      <c r="B63" s="23"/>
      <c r="C63" s="2" t="str">
        <f aca="false">IF(Calculations!A63,Dates!D63,"")</f>
        <v/>
      </c>
      <c r="D63" s="2" t="str">
        <f aca="false">IF(Calculations!A63,1,"")</f>
        <v/>
      </c>
      <c r="E63" s="2" t="str">
        <f aca="false">IF(Calculations!A63,Dates!I63,"")</f>
        <v/>
      </c>
      <c r="F63" s="2" t="str">
        <f aca="false">IF(Calculations!A63,Dates!J63,"")</f>
        <v/>
      </c>
      <c r="G63" s="11" t="str">
        <f aca="false">IF(Calculations!A63,Dates!K63,"")</f>
        <v/>
      </c>
      <c r="H63" s="2" t="str">
        <f aca="false">IF(Calculations!A63,Dates!H63,"")</f>
        <v/>
      </c>
      <c r="I63" s="20"/>
      <c r="J63" s="20"/>
      <c r="K63" s="2" t="n">
        <f aca="false">IF(ISNUMBER(I63),1,0)</f>
        <v>0</v>
      </c>
      <c r="L63" s="2"/>
      <c r="M63" s="2" t="str">
        <f aca="false">Calculations!I63</f>
        <v/>
      </c>
      <c r="N63" s="2" t="str">
        <f aca="false">IF(Calculations!A63,Settings!$B$5,"")</f>
        <v/>
      </c>
      <c r="O63" s="2" t="str">
        <f aca="false">Calculations!J63</f>
        <v/>
      </c>
      <c r="P63" s="2" t="str">
        <f aca="false">IF(Calculations!A63,Settings!$B$5,"")</f>
        <v/>
      </c>
      <c r="Q63" s="2" t="str">
        <f aca="false">Calculations!K63</f>
        <v/>
      </c>
      <c r="R63" s="2" t="str">
        <f aca="false">IF(Calculations!A63,Settings!$B$5,"")</f>
        <v/>
      </c>
      <c r="S63" s="2" t="str">
        <f aca="false">Calculations!L63</f>
        <v/>
      </c>
      <c r="T63" s="2" t="str">
        <f aca="false">IF(Calculations!A63,Settings!$B$5,"")</f>
        <v/>
      </c>
      <c r="U63" s="2" t="str">
        <f aca="false">Calculations!M63</f>
        <v/>
      </c>
      <c r="V63" s="2" t="str">
        <f aca="false">IF(Calculations!A63,Settings!$B$5,"")</f>
        <v/>
      </c>
      <c r="W63" s="2" t="str">
        <f aca="false">Calculations!N63</f>
        <v/>
      </c>
      <c r="X63" s="2" t="str">
        <f aca="false">Calculations!O63</f>
        <v/>
      </c>
      <c r="Y63" s="2" t="str">
        <f aca="false">IF(Calculations!P63="","",Calculations!P63)</f>
        <v/>
      </c>
    </row>
    <row r="64" customFormat="false" ht="13.8" hidden="false" customHeight="false" outlineLevel="0" collapsed="false">
      <c r="A64" s="23"/>
      <c r="B64" s="23"/>
      <c r="C64" s="2" t="str">
        <f aca="false">IF(Calculations!A64,Dates!D64,"")</f>
        <v/>
      </c>
      <c r="D64" s="2" t="str">
        <f aca="false">IF(Calculations!A64,1,"")</f>
        <v/>
      </c>
      <c r="E64" s="2" t="str">
        <f aca="false">IF(Calculations!A64,Dates!I64,"")</f>
        <v/>
      </c>
      <c r="F64" s="2" t="str">
        <f aca="false">IF(Calculations!A64,Dates!J64,"")</f>
        <v/>
      </c>
      <c r="G64" s="11" t="str">
        <f aca="false">IF(Calculations!A64,Dates!K64,"")</f>
        <v/>
      </c>
      <c r="H64" s="2" t="str">
        <f aca="false">IF(Calculations!A64,Dates!H64,"")</f>
        <v/>
      </c>
      <c r="I64" s="12"/>
      <c r="J64" s="12"/>
      <c r="K64" s="2" t="n">
        <f aca="false">IF(ISNUMBER(I64),1,0)</f>
        <v>0</v>
      </c>
      <c r="L64" s="2"/>
      <c r="M64" s="2" t="str">
        <f aca="false">Calculations!I64</f>
        <v/>
      </c>
      <c r="N64" s="2" t="str">
        <f aca="false">IF(Calculations!A64,Settings!$B$5,"")</f>
        <v/>
      </c>
      <c r="O64" s="2" t="str">
        <f aca="false">Calculations!J64</f>
        <v/>
      </c>
      <c r="P64" s="2" t="str">
        <f aca="false">IF(Calculations!A64,Settings!$B$5,"")</f>
        <v/>
      </c>
      <c r="Q64" s="2" t="str">
        <f aca="false">Calculations!K64</f>
        <v/>
      </c>
      <c r="R64" s="2" t="str">
        <f aca="false">IF(Calculations!A64,Settings!$B$5,"")</f>
        <v/>
      </c>
      <c r="S64" s="2" t="str">
        <f aca="false">Calculations!L64</f>
        <v/>
      </c>
      <c r="T64" s="2" t="str">
        <f aca="false">IF(Calculations!A64,Settings!$B$5,"")</f>
        <v/>
      </c>
      <c r="U64" s="2" t="str">
        <f aca="false">Calculations!M64</f>
        <v/>
      </c>
      <c r="V64" s="2" t="str">
        <f aca="false">IF(Calculations!A64,Settings!$B$5,"")</f>
        <v/>
      </c>
      <c r="W64" s="2" t="str">
        <f aca="false">Calculations!N64</f>
        <v/>
      </c>
      <c r="X64" s="2" t="str">
        <f aca="false">Calculations!O64</f>
        <v/>
      </c>
      <c r="Y64" s="2" t="str">
        <f aca="false">IF(Calculations!P64="","",Calculations!P64)</f>
        <v/>
      </c>
    </row>
    <row r="65" customFormat="false" ht="13.8" hidden="false" customHeight="false" outlineLevel="0" collapsed="false">
      <c r="A65" s="23"/>
      <c r="B65" s="23"/>
      <c r="C65" s="2" t="str">
        <f aca="false">IF(Calculations!A65,Dates!D65,"")</f>
        <v/>
      </c>
      <c r="D65" s="2" t="str">
        <f aca="false">IF(Calculations!A65,1,"")</f>
        <v/>
      </c>
      <c r="E65" s="2" t="str">
        <f aca="false">IF(Calculations!A65,Dates!I65,"")</f>
        <v/>
      </c>
      <c r="F65" s="2" t="str">
        <f aca="false">IF(Calculations!A65,Dates!J65,"")</f>
        <v/>
      </c>
      <c r="G65" s="11" t="str">
        <f aca="false">IF(Calculations!A65,Dates!K65,"")</f>
        <v/>
      </c>
      <c r="H65" s="2" t="str">
        <f aca="false">IF(Calculations!A65,Dates!H65,"")</f>
        <v/>
      </c>
      <c r="I65" s="12"/>
      <c r="J65" s="12"/>
      <c r="K65" s="2" t="n">
        <f aca="false">IF(ISNUMBER(I65),1,0)</f>
        <v>0</v>
      </c>
      <c r="L65" s="2"/>
      <c r="M65" s="2" t="str">
        <f aca="false">Calculations!I65</f>
        <v/>
      </c>
      <c r="N65" s="2" t="str">
        <f aca="false">IF(Calculations!A65,Settings!$B$5,"")</f>
        <v/>
      </c>
      <c r="O65" s="2" t="str">
        <f aca="false">Calculations!J65</f>
        <v/>
      </c>
      <c r="P65" s="2" t="str">
        <f aca="false">IF(Calculations!A65,Settings!$B$5,"")</f>
        <v/>
      </c>
      <c r="Q65" s="2" t="str">
        <f aca="false">Calculations!K65</f>
        <v/>
      </c>
      <c r="R65" s="2" t="str">
        <f aca="false">IF(Calculations!A65,Settings!$B$5,"")</f>
        <v/>
      </c>
      <c r="S65" s="2" t="str">
        <f aca="false">Calculations!L65</f>
        <v/>
      </c>
      <c r="T65" s="2" t="str">
        <f aca="false">IF(Calculations!A65,Settings!$B$5,"")</f>
        <v/>
      </c>
      <c r="U65" s="2" t="str">
        <f aca="false">Calculations!M65</f>
        <v/>
      </c>
      <c r="V65" s="2" t="str">
        <f aca="false">IF(Calculations!A65,Settings!$B$5,"")</f>
        <v/>
      </c>
      <c r="W65" s="2" t="str">
        <f aca="false">Calculations!N65</f>
        <v/>
      </c>
      <c r="X65" s="2" t="str">
        <f aca="false">Calculations!O65</f>
        <v/>
      </c>
      <c r="Y65" s="2" t="str">
        <f aca="false">IF(Calculations!P65="","",Calculations!P65)</f>
        <v/>
      </c>
    </row>
    <row r="66" customFormat="false" ht="13.8" hidden="false" customHeight="false" outlineLevel="0" collapsed="false">
      <c r="A66" s="23"/>
      <c r="B66" s="23"/>
      <c r="C66" s="2" t="str">
        <f aca="false">IF(Calculations!A66,Dates!D66,"")</f>
        <v/>
      </c>
      <c r="D66" s="2" t="str">
        <f aca="false">IF(Calculations!A66,1,"")</f>
        <v/>
      </c>
      <c r="E66" s="2" t="str">
        <f aca="false">IF(Calculations!A66,Dates!I66,"")</f>
        <v/>
      </c>
      <c r="F66" s="2" t="str">
        <f aca="false">IF(Calculations!A66,Dates!J66,"")</f>
        <v/>
      </c>
      <c r="G66" s="11" t="str">
        <f aca="false">IF(Calculations!A66,Dates!K66,"")</f>
        <v/>
      </c>
      <c r="H66" s="2" t="str">
        <f aca="false">IF(Calculations!A66,Dates!H66,"")</f>
        <v/>
      </c>
      <c r="I66" s="12"/>
      <c r="J66" s="12"/>
      <c r="K66" s="2" t="n">
        <f aca="false">IF(ISNUMBER(I66),1,0)</f>
        <v>0</v>
      </c>
      <c r="L66" s="2"/>
      <c r="M66" s="2" t="str">
        <f aca="false">Calculations!I66</f>
        <v/>
      </c>
      <c r="N66" s="2" t="str">
        <f aca="false">IF(Calculations!A66,Settings!$B$5,"")</f>
        <v/>
      </c>
      <c r="O66" s="2" t="str">
        <f aca="false">Calculations!J66</f>
        <v/>
      </c>
      <c r="P66" s="2" t="str">
        <f aca="false">IF(Calculations!A66,Settings!$B$5,"")</f>
        <v/>
      </c>
      <c r="Q66" s="2" t="str">
        <f aca="false">Calculations!K66</f>
        <v/>
      </c>
      <c r="R66" s="2" t="str">
        <f aca="false">IF(Calculations!A66,Settings!$B$5,"")</f>
        <v/>
      </c>
      <c r="S66" s="2" t="str">
        <f aca="false">Calculations!L66</f>
        <v/>
      </c>
      <c r="T66" s="2" t="str">
        <f aca="false">IF(Calculations!A66,Settings!$B$5,"")</f>
        <v/>
      </c>
      <c r="U66" s="2" t="str">
        <f aca="false">Calculations!M66</f>
        <v/>
      </c>
      <c r="V66" s="2" t="str">
        <f aca="false">IF(Calculations!A66,Settings!$B$5,"")</f>
        <v/>
      </c>
      <c r="W66" s="2" t="str">
        <f aca="false">Calculations!N66</f>
        <v/>
      </c>
      <c r="X66" s="1" t="str">
        <f aca="false">Calculations!O66</f>
        <v/>
      </c>
      <c r="Y66" s="1" t="str">
        <f aca="false">IF(Calculations!P66="","",Calculations!P66)</f>
        <v/>
      </c>
    </row>
    <row r="67" customFormat="false" ht="13.8" hidden="false" customHeight="false" outlineLevel="0" collapsed="false">
      <c r="A67" s="23"/>
      <c r="B67" s="23"/>
      <c r="C67" s="2" t="str">
        <f aca="false">IF(Calculations!A67,Dates!D67,"")</f>
        <v/>
      </c>
      <c r="D67" s="2" t="str">
        <f aca="false">IF(Calculations!A67,1,"")</f>
        <v/>
      </c>
      <c r="E67" s="2" t="str">
        <f aca="false">IF(Calculations!A67,Dates!I67,"")</f>
        <v/>
      </c>
      <c r="F67" s="2" t="str">
        <f aca="false">IF(Calculations!A67,Dates!J67,"")</f>
        <v/>
      </c>
      <c r="G67" s="11" t="str">
        <f aca="false">IF(Calculations!A67,Dates!K67,"")</f>
        <v/>
      </c>
      <c r="H67" s="2" t="str">
        <f aca="false">IF(Calculations!A67,Dates!H67,"")</f>
        <v/>
      </c>
      <c r="I67" s="12"/>
      <c r="J67" s="12"/>
      <c r="K67" s="2" t="n">
        <f aca="false">IF(ISNUMBER(I67),1,0)</f>
        <v>0</v>
      </c>
      <c r="L67" s="2"/>
      <c r="M67" s="2" t="str">
        <f aca="false">Calculations!I67</f>
        <v/>
      </c>
      <c r="N67" s="2" t="str">
        <f aca="false">IF(Calculations!A67,Settings!$B$5,"")</f>
        <v/>
      </c>
      <c r="O67" s="2" t="str">
        <f aca="false">Calculations!J67</f>
        <v/>
      </c>
      <c r="P67" s="2" t="str">
        <f aca="false">IF(Calculations!A67,Settings!$B$5,"")</f>
        <v/>
      </c>
      <c r="Q67" s="2" t="str">
        <f aca="false">Calculations!K67</f>
        <v/>
      </c>
      <c r="R67" s="2" t="str">
        <f aca="false">IF(Calculations!A67,Settings!$B$5,"")</f>
        <v/>
      </c>
      <c r="S67" s="2" t="str">
        <f aca="false">Calculations!L67</f>
        <v/>
      </c>
      <c r="T67" s="2" t="str">
        <f aca="false">IF(Calculations!A67,Settings!$B$5,"")</f>
        <v/>
      </c>
      <c r="U67" s="2" t="str">
        <f aca="false">Calculations!M67</f>
        <v/>
      </c>
      <c r="V67" s="2" t="str">
        <f aca="false">IF(Calculations!A67,Settings!$B$5,"")</f>
        <v/>
      </c>
      <c r="W67" s="2" t="str">
        <f aca="false">Calculations!N67</f>
        <v/>
      </c>
      <c r="X67" s="1" t="str">
        <f aca="false">Calculations!O67</f>
        <v/>
      </c>
      <c r="Y67" s="1" t="str">
        <f aca="false">IF(Calculations!P67="","",Calculations!P67)</f>
        <v/>
      </c>
    </row>
    <row r="68" customFormat="false" ht="13.8" hidden="false" customHeight="false" outlineLevel="0" collapsed="false">
      <c r="A68" s="23"/>
      <c r="B68" s="23"/>
      <c r="C68" s="2" t="str">
        <f aca="false">IF(Calculations!A68,Dates!D68,"")</f>
        <v/>
      </c>
      <c r="D68" s="2" t="str">
        <f aca="false">IF(Calculations!A68,1,"")</f>
        <v/>
      </c>
      <c r="E68" s="2" t="str">
        <f aca="false">IF(Calculations!A68,Dates!I68,"")</f>
        <v/>
      </c>
      <c r="F68" s="2" t="str">
        <f aca="false">IF(Calculations!A68,Dates!J68,"")</f>
        <v/>
      </c>
      <c r="G68" s="11" t="str">
        <f aca="false">IF(Calculations!A68,Dates!K68,"")</f>
        <v/>
      </c>
      <c r="H68" s="2" t="str">
        <f aca="false">IF(Calculations!A68,Dates!H68,"")</f>
        <v/>
      </c>
      <c r="I68" s="12"/>
      <c r="J68" s="12"/>
      <c r="K68" s="2" t="n">
        <f aca="false">IF(ISNUMBER(I68),1,0)</f>
        <v>0</v>
      </c>
      <c r="L68" s="2"/>
      <c r="M68" s="2" t="str">
        <f aca="false">Calculations!I68</f>
        <v/>
      </c>
      <c r="N68" s="2" t="str">
        <f aca="false">IF(Calculations!A68,Settings!$B$5,"")</f>
        <v/>
      </c>
      <c r="O68" s="2" t="str">
        <f aca="false">Calculations!J68</f>
        <v/>
      </c>
      <c r="P68" s="2" t="str">
        <f aca="false">IF(Calculations!A68,Settings!$B$5,"")</f>
        <v/>
      </c>
      <c r="Q68" s="2" t="str">
        <f aca="false">Calculations!K68</f>
        <v/>
      </c>
      <c r="R68" s="2" t="str">
        <f aca="false">IF(Calculations!A68,Settings!$B$5,"")</f>
        <v/>
      </c>
      <c r="S68" s="2" t="str">
        <f aca="false">Calculations!L68</f>
        <v/>
      </c>
      <c r="T68" s="2" t="str">
        <f aca="false">IF(Calculations!A68,Settings!$B$5,"")</f>
        <v/>
      </c>
      <c r="U68" s="2" t="str">
        <f aca="false">Calculations!M68</f>
        <v/>
      </c>
      <c r="V68" s="2" t="str">
        <f aca="false">IF(Calculations!A68,Settings!$B$5,"")</f>
        <v/>
      </c>
      <c r="W68" s="2" t="str">
        <f aca="false">Calculations!N68</f>
        <v/>
      </c>
      <c r="X68" s="1" t="str">
        <f aca="false">Calculations!O68</f>
        <v/>
      </c>
      <c r="Y68" s="1" t="str">
        <f aca="false">IF(Calculations!P68="","",Calculations!P68)</f>
        <v/>
      </c>
    </row>
    <row r="69" customFormat="false" ht="13.8" hidden="false" customHeight="false" outlineLevel="0" collapsed="false">
      <c r="A69" s="23"/>
      <c r="B69" s="23"/>
      <c r="C69" s="2" t="str">
        <f aca="false">IF(Calculations!A69,Dates!D69,"")</f>
        <v/>
      </c>
      <c r="D69" s="2" t="str">
        <f aca="false">IF(Calculations!A69,1,"")</f>
        <v/>
      </c>
      <c r="E69" s="2" t="str">
        <f aca="false">IF(Calculations!A69,Dates!I69,"")</f>
        <v/>
      </c>
      <c r="F69" s="2" t="str">
        <f aca="false">IF(Calculations!A69,Dates!J69,"")</f>
        <v/>
      </c>
      <c r="G69" s="11" t="str">
        <f aca="false">IF(Calculations!A69,Dates!K69,"")</f>
        <v/>
      </c>
      <c r="H69" s="2" t="str">
        <f aca="false">IF(Calculations!A69,Dates!H69,"")</f>
        <v/>
      </c>
      <c r="I69" s="12"/>
      <c r="J69" s="12"/>
      <c r="K69" s="2" t="n">
        <f aca="false">IF(ISNUMBER(I69),1,0)</f>
        <v>0</v>
      </c>
      <c r="L69" s="2"/>
      <c r="M69" s="2" t="str">
        <f aca="false">Calculations!I69</f>
        <v/>
      </c>
      <c r="N69" s="2" t="str">
        <f aca="false">IF(Calculations!A69,Settings!$B$5,"")</f>
        <v/>
      </c>
      <c r="O69" s="2" t="str">
        <f aca="false">Calculations!J69</f>
        <v/>
      </c>
      <c r="P69" s="2" t="str">
        <f aca="false">IF(Calculations!A69,Settings!$B$5,"")</f>
        <v/>
      </c>
      <c r="Q69" s="2" t="str">
        <f aca="false">Calculations!K69</f>
        <v/>
      </c>
      <c r="R69" s="2" t="str">
        <f aca="false">IF(Calculations!A69,Settings!$B$5,"")</f>
        <v/>
      </c>
      <c r="S69" s="2" t="str">
        <f aca="false">Calculations!L69</f>
        <v/>
      </c>
      <c r="T69" s="2" t="str">
        <f aca="false">IF(Calculations!A69,Settings!$B$5,"")</f>
        <v/>
      </c>
      <c r="U69" s="2" t="str">
        <f aca="false">Calculations!M69</f>
        <v/>
      </c>
      <c r="V69" s="2" t="str">
        <f aca="false">IF(Calculations!A69,Settings!$B$5,"")</f>
        <v/>
      </c>
      <c r="W69" s="2" t="str">
        <f aca="false">Calculations!N69</f>
        <v/>
      </c>
      <c r="X69" s="1" t="str">
        <f aca="false">Calculations!O69</f>
        <v/>
      </c>
      <c r="Y69" s="1" t="str">
        <f aca="false">IF(Calculations!P69="","",Calculations!P69)</f>
        <v/>
      </c>
    </row>
    <row r="70" customFormat="false" ht="13.8" hidden="false" customHeight="false" outlineLevel="0" collapsed="false">
      <c r="A70" s="23"/>
      <c r="B70" s="23"/>
      <c r="C70" s="2" t="str">
        <f aca="false">IF(Calculations!A70,Dates!D70,"")</f>
        <v/>
      </c>
      <c r="D70" s="2" t="str">
        <f aca="false">IF(Calculations!A70,1,"")</f>
        <v/>
      </c>
      <c r="E70" s="2" t="str">
        <f aca="false">IF(Calculations!A70,Dates!I70,"")</f>
        <v/>
      </c>
      <c r="F70" s="2" t="str">
        <f aca="false">IF(Calculations!A70,Dates!J70,"")</f>
        <v/>
      </c>
      <c r="G70" s="11" t="str">
        <f aca="false">IF(Calculations!A70,Dates!K70,"")</f>
        <v/>
      </c>
      <c r="H70" s="2" t="str">
        <f aca="false">IF(Calculations!A70,Dates!H70,"")</f>
        <v/>
      </c>
      <c r="I70" s="12"/>
      <c r="J70" s="12"/>
      <c r="K70" s="2" t="n">
        <f aca="false">IF(ISNUMBER(I70),1,0)</f>
        <v>0</v>
      </c>
      <c r="L70" s="2"/>
      <c r="M70" s="2" t="str">
        <f aca="false">Calculations!I70</f>
        <v/>
      </c>
      <c r="N70" s="2" t="str">
        <f aca="false">IF(Calculations!A70,Settings!$B$5,"")</f>
        <v/>
      </c>
      <c r="O70" s="2" t="str">
        <f aca="false">Calculations!J70</f>
        <v/>
      </c>
      <c r="P70" s="2" t="str">
        <f aca="false">IF(Calculations!A70,Settings!$B$5,"")</f>
        <v/>
      </c>
      <c r="Q70" s="2" t="str">
        <f aca="false">Calculations!K70</f>
        <v/>
      </c>
      <c r="R70" s="2" t="str">
        <f aca="false">IF(Calculations!A70,Settings!$B$5,"")</f>
        <v/>
      </c>
      <c r="S70" s="2" t="str">
        <f aca="false">Calculations!L70</f>
        <v/>
      </c>
      <c r="T70" s="2" t="str">
        <f aca="false">IF(Calculations!A70,Settings!$B$5,"")</f>
        <v/>
      </c>
      <c r="U70" s="2" t="str">
        <f aca="false">Calculations!M70</f>
        <v/>
      </c>
      <c r="V70" s="2" t="str">
        <f aca="false">IF(Calculations!A70,Settings!$B$5,"")</f>
        <v/>
      </c>
      <c r="W70" s="2" t="str">
        <f aca="false">Calculations!N70</f>
        <v/>
      </c>
      <c r="X70" s="1" t="str">
        <f aca="false">Calculations!O70</f>
        <v/>
      </c>
      <c r="Y70" s="1" t="str">
        <f aca="false">IF(Calculations!P70="","",Calculations!P70)</f>
        <v/>
      </c>
    </row>
    <row r="71" customFormat="false" ht="13.8" hidden="false" customHeight="false" outlineLevel="0" collapsed="false">
      <c r="A71" s="23"/>
      <c r="B71" s="23"/>
      <c r="C71" s="2" t="str">
        <f aca="false">IF(Calculations!A71,Dates!D71,"")</f>
        <v/>
      </c>
      <c r="D71" s="2" t="str">
        <f aca="false">IF(Calculations!A71,1,"")</f>
        <v/>
      </c>
      <c r="E71" s="2" t="str">
        <f aca="false">IF(Calculations!A71,Dates!I71,"")</f>
        <v/>
      </c>
      <c r="F71" s="2" t="str">
        <f aca="false">IF(Calculations!A71,Dates!J71,"")</f>
        <v/>
      </c>
      <c r="G71" s="11" t="str">
        <f aca="false">IF(Calculations!A71,Dates!K71,"")</f>
        <v/>
      </c>
      <c r="H71" s="2" t="str">
        <f aca="false">IF(Calculations!A71,Dates!H71,"")</f>
        <v/>
      </c>
      <c r="I71" s="12"/>
      <c r="J71" s="12"/>
      <c r="K71" s="2" t="n">
        <f aca="false">IF(ISNUMBER(I71),1,0)</f>
        <v>0</v>
      </c>
      <c r="M71" s="2" t="str">
        <f aca="false">Calculations!I71</f>
        <v/>
      </c>
      <c r="N71" s="2" t="str">
        <f aca="false">IF(Calculations!A71,Settings!$B$5,"")</f>
        <v/>
      </c>
      <c r="O71" s="2" t="str">
        <f aca="false">Calculations!J71</f>
        <v/>
      </c>
      <c r="P71" s="2" t="str">
        <f aca="false">IF(Calculations!A71,Settings!$B$5,"")</f>
        <v/>
      </c>
      <c r="Q71" s="2" t="str">
        <f aca="false">Calculations!K71</f>
        <v/>
      </c>
      <c r="R71" s="2" t="str">
        <f aca="false">IF(Calculations!A71,Settings!$B$5,"")</f>
        <v/>
      </c>
      <c r="S71" s="2" t="str">
        <f aca="false">Calculations!L71</f>
        <v/>
      </c>
      <c r="T71" s="2" t="str">
        <f aca="false">IF(Calculations!A71,Settings!$B$5,"")</f>
        <v/>
      </c>
      <c r="U71" s="2" t="str">
        <f aca="false">Calculations!M71</f>
        <v/>
      </c>
      <c r="V71" s="2" t="str">
        <f aca="false">IF(Calculations!A71,Settings!$B$5,"")</f>
        <v/>
      </c>
      <c r="W71" s="2" t="str">
        <f aca="false">Calculations!N71</f>
        <v/>
      </c>
      <c r="X71" s="1" t="str">
        <f aca="false">Calculations!O71</f>
        <v/>
      </c>
      <c r="Y71" s="1" t="str">
        <f aca="false">IF(Calculations!P71="","",Calculations!P71)</f>
        <v/>
      </c>
    </row>
    <row r="72" customFormat="false" ht="13.8" hidden="false" customHeight="false" outlineLevel="0" collapsed="false">
      <c r="A72" s="23"/>
      <c r="B72" s="23"/>
      <c r="C72" s="2" t="str">
        <f aca="false">IF(Calculations!A72,Dates!D72,"")</f>
        <v/>
      </c>
      <c r="D72" s="2" t="str">
        <f aca="false">IF(Calculations!A72,1,"")</f>
        <v/>
      </c>
      <c r="E72" s="2" t="str">
        <f aca="false">IF(Calculations!A72,Dates!I72,"")</f>
        <v/>
      </c>
      <c r="F72" s="2" t="str">
        <f aca="false">IF(Calculations!A72,Dates!J72,"")</f>
        <v/>
      </c>
      <c r="G72" s="11" t="str">
        <f aca="false">IF(Calculations!A72,Dates!K72,"")</f>
        <v/>
      </c>
      <c r="H72" s="2" t="str">
        <f aca="false">IF(Calculations!A72,Dates!H72,"")</f>
        <v/>
      </c>
      <c r="I72" s="12"/>
      <c r="J72" s="12"/>
      <c r="K72" s="2" t="n">
        <f aca="false">IF(ISNUMBER(I72),1,0)</f>
        <v>0</v>
      </c>
      <c r="M72" s="2" t="str">
        <f aca="false">Calculations!I72</f>
        <v/>
      </c>
      <c r="N72" s="2" t="str">
        <f aca="false">IF(Calculations!A72,Settings!$B$5,"")</f>
        <v/>
      </c>
      <c r="O72" s="2" t="str">
        <f aca="false">Calculations!J72</f>
        <v/>
      </c>
      <c r="P72" s="2" t="str">
        <f aca="false">IF(Calculations!A72,Settings!$B$5,"")</f>
        <v/>
      </c>
      <c r="Q72" s="2" t="str">
        <f aca="false">Calculations!K72</f>
        <v/>
      </c>
      <c r="R72" s="2" t="str">
        <f aca="false">IF(Calculations!A72,Settings!$B$5,"")</f>
        <v/>
      </c>
      <c r="S72" s="2" t="str">
        <f aca="false">Calculations!L72</f>
        <v/>
      </c>
      <c r="T72" s="2" t="str">
        <f aca="false">IF(Calculations!A72,Settings!$B$5,"")</f>
        <v/>
      </c>
      <c r="U72" s="2" t="str">
        <f aca="false">Calculations!M72</f>
        <v/>
      </c>
      <c r="V72" s="2" t="str">
        <f aca="false">IF(Calculations!A72,Settings!$B$5,"")</f>
        <v/>
      </c>
      <c r="W72" s="2" t="str">
        <f aca="false">Calculations!N72</f>
        <v/>
      </c>
      <c r="X72" s="1" t="str">
        <f aca="false">Calculations!O72</f>
        <v/>
      </c>
      <c r="Y72" s="1" t="str">
        <f aca="false">IF(Calculations!P72="","",Calculations!P72)</f>
        <v/>
      </c>
    </row>
    <row r="73" customFormat="false" ht="13.8" hidden="false" customHeight="false" outlineLevel="0" collapsed="false">
      <c r="A73" s="23"/>
      <c r="B73" s="23"/>
      <c r="C73" s="2" t="str">
        <f aca="false">IF(Calculations!A73,Dates!D73,"")</f>
        <v/>
      </c>
      <c r="D73" s="2" t="str">
        <f aca="false">IF(Calculations!A73,1,"")</f>
        <v/>
      </c>
      <c r="E73" s="2" t="str">
        <f aca="false">IF(Calculations!A73,Dates!I73,"")</f>
        <v/>
      </c>
      <c r="F73" s="2" t="str">
        <f aca="false">IF(Calculations!A73,Dates!J73,"")</f>
        <v/>
      </c>
      <c r="G73" s="11" t="str">
        <f aca="false">IF(Calculations!A73,Dates!K73,"")</f>
        <v/>
      </c>
      <c r="H73" s="1" t="str">
        <f aca="false">IF(Calculations!A73,Dates!H73,"")</f>
        <v/>
      </c>
      <c r="I73" s="12"/>
      <c r="J73" s="12"/>
      <c r="K73" s="2" t="n">
        <f aca="false">IF(ISNUMBER(I73),1,0)</f>
        <v>0</v>
      </c>
      <c r="L73" s="2"/>
      <c r="M73" s="2" t="str">
        <f aca="false">Calculations!I73</f>
        <v/>
      </c>
      <c r="N73" s="2" t="str">
        <f aca="false">IF(Calculations!A73,Settings!$B$5,"")</f>
        <v/>
      </c>
      <c r="O73" s="2" t="str">
        <f aca="false">Calculations!J73</f>
        <v/>
      </c>
      <c r="P73" s="2" t="str">
        <f aca="false">IF(Calculations!A73,Settings!$B$5,"")</f>
        <v/>
      </c>
      <c r="Q73" s="2" t="str">
        <f aca="false">Calculations!K73</f>
        <v/>
      </c>
      <c r="R73" s="2" t="str">
        <f aca="false">IF(Calculations!A73,Settings!$B$5,"")</f>
        <v/>
      </c>
      <c r="S73" s="2" t="str">
        <f aca="false">Calculations!L73</f>
        <v/>
      </c>
      <c r="T73" s="2" t="str">
        <f aca="false">IF(Calculations!A73,Settings!$B$5,"")</f>
        <v/>
      </c>
      <c r="U73" s="2" t="str">
        <f aca="false">Calculations!M73</f>
        <v/>
      </c>
      <c r="V73" s="2" t="str">
        <f aca="false">IF(Calculations!A73,Settings!$B$5,"")</f>
        <v/>
      </c>
      <c r="W73" s="2" t="str">
        <f aca="false">Calculations!N73</f>
        <v/>
      </c>
      <c r="X73" s="1" t="str">
        <f aca="false">Calculations!O73</f>
        <v/>
      </c>
      <c r="Y73" s="1" t="str">
        <f aca="false">IF(Calculations!P73="","",Calculations!P73)</f>
        <v/>
      </c>
    </row>
    <row r="74" customFormat="false" ht="13.8" hidden="false" customHeight="false" outlineLevel="0" collapsed="false">
      <c r="A74" s="23"/>
      <c r="B74" s="23"/>
      <c r="C74" s="2" t="str">
        <f aca="false">IF(Calculations!A74,Dates!D74,"")</f>
        <v/>
      </c>
      <c r="D74" s="2" t="str">
        <f aca="false">IF(Calculations!A74,1,"")</f>
        <v/>
      </c>
      <c r="E74" s="2" t="str">
        <f aca="false">IF(Calculations!A74,Dates!I74,"")</f>
        <v/>
      </c>
      <c r="F74" s="1" t="str">
        <f aca="false">IF(Calculations!A74,Dates!J74,"")</f>
        <v/>
      </c>
      <c r="G74" s="25" t="str">
        <f aca="false">IF(Calculations!A74,Dates!K74,"")</f>
        <v/>
      </c>
      <c r="H74" s="1" t="str">
        <f aca="false">IF(Calculations!A74,Dates!H74,"")</f>
        <v/>
      </c>
      <c r="I74" s="12"/>
      <c r="J74" s="20"/>
      <c r="K74" s="2" t="n">
        <f aca="false">IF(ISNUMBER(I74),1,0)</f>
        <v>0</v>
      </c>
      <c r="M74" s="2" t="str">
        <f aca="false">Calculations!I74</f>
        <v/>
      </c>
      <c r="N74" s="2" t="str">
        <f aca="false">IF(Calculations!A74,Settings!$B$5,"")</f>
        <v/>
      </c>
      <c r="O74" s="2" t="str">
        <f aca="false">Calculations!J74</f>
        <v/>
      </c>
      <c r="P74" s="2" t="str">
        <f aca="false">IF(Calculations!A74,Settings!$B$5,"")</f>
        <v/>
      </c>
      <c r="Q74" s="2" t="str">
        <f aca="false">Calculations!K74</f>
        <v/>
      </c>
      <c r="R74" s="2" t="str">
        <f aca="false">IF(Calculations!A74,Settings!$B$5,"")</f>
        <v/>
      </c>
      <c r="S74" s="2" t="str">
        <f aca="false">Calculations!L74</f>
        <v/>
      </c>
      <c r="T74" s="2" t="str">
        <f aca="false">IF(Calculations!A74,Settings!$B$5,"")</f>
        <v/>
      </c>
      <c r="U74" s="2" t="str">
        <f aca="false">Calculations!M74</f>
        <v/>
      </c>
      <c r="V74" s="2" t="str">
        <f aca="false">IF(Calculations!A74,Settings!$B$5,"")</f>
        <v/>
      </c>
      <c r="W74" s="2" t="str">
        <f aca="false">Calculations!N74</f>
        <v/>
      </c>
      <c r="X74" s="1" t="str">
        <f aca="false">Calculations!O74</f>
        <v/>
      </c>
      <c r="Y74" s="1" t="str">
        <f aca="false">IF(Calculations!P74="","",Calculations!P74)</f>
        <v/>
      </c>
    </row>
    <row r="75" customFormat="false" ht="13.8" hidden="false" customHeight="false" outlineLevel="0" collapsed="false">
      <c r="A75" s="23"/>
      <c r="B75" s="23"/>
      <c r="C75" s="2" t="str">
        <f aca="false">IF(Calculations!A75,Dates!D75,"")</f>
        <v/>
      </c>
      <c r="D75" s="2" t="str">
        <f aca="false">IF(Calculations!A75,1,"")</f>
        <v/>
      </c>
      <c r="E75" s="2" t="str">
        <f aca="false">IF(Calculations!A75,Dates!I75,"")</f>
        <v/>
      </c>
      <c r="F75" s="1" t="str">
        <f aca="false">IF(Calculations!A75,Dates!J75,"")</f>
        <v/>
      </c>
      <c r="G75" s="25" t="str">
        <f aca="false">IF(Calculations!A75,Dates!K75,"")</f>
        <v/>
      </c>
      <c r="H75" s="1" t="str">
        <f aca="false">IF(Calculations!A75,Dates!H75,"")</f>
        <v/>
      </c>
      <c r="I75" s="12"/>
      <c r="J75" s="20"/>
      <c r="K75" s="2" t="n">
        <f aca="false">IF(ISNUMBER(I75),1,0)</f>
        <v>0</v>
      </c>
      <c r="M75" s="2" t="str">
        <f aca="false">Calculations!I75</f>
        <v/>
      </c>
      <c r="N75" s="2" t="str">
        <f aca="false">IF(Calculations!A75,Settings!$B$5,"")</f>
        <v/>
      </c>
      <c r="O75" s="2" t="str">
        <f aca="false">Calculations!J75</f>
        <v/>
      </c>
      <c r="P75" s="2" t="str">
        <f aca="false">IF(Calculations!A75,Settings!$B$5,"")</f>
        <v/>
      </c>
      <c r="Q75" s="2" t="str">
        <f aca="false">Calculations!K75</f>
        <v/>
      </c>
      <c r="R75" s="2" t="str">
        <f aca="false">IF(Calculations!A75,Settings!$B$5,"")</f>
        <v/>
      </c>
      <c r="S75" s="2" t="str">
        <f aca="false">Calculations!L75</f>
        <v/>
      </c>
      <c r="T75" s="2" t="str">
        <f aca="false">IF(Calculations!A75,Settings!$B$5,"")</f>
        <v/>
      </c>
      <c r="U75" s="2" t="str">
        <f aca="false">Calculations!M75</f>
        <v/>
      </c>
      <c r="V75" s="2" t="str">
        <f aca="false">IF(Calculations!A75,Settings!$B$5,"")</f>
        <v/>
      </c>
      <c r="W75" s="2" t="str">
        <f aca="false">Calculations!N75</f>
        <v/>
      </c>
      <c r="X75" s="1" t="str">
        <f aca="false">Calculations!O75</f>
        <v/>
      </c>
      <c r="Y75" s="1" t="str">
        <f aca="false">IF(Calculations!P75="","",Calculations!P75)</f>
        <v/>
      </c>
    </row>
    <row r="76" customFormat="false" ht="13.8" hidden="false" customHeight="false" outlineLevel="0" collapsed="false">
      <c r="A76" s="23"/>
      <c r="B76" s="23"/>
      <c r="C76" s="2" t="str">
        <f aca="false">IF(Calculations!A76,Dates!D76,"")</f>
        <v/>
      </c>
      <c r="D76" s="2" t="str">
        <f aca="false">IF(Calculations!A76,1,"")</f>
        <v/>
      </c>
      <c r="E76" s="2" t="str">
        <f aca="false">IF(Calculations!A76,Dates!I76,"")</f>
        <v/>
      </c>
      <c r="F76" s="1" t="str">
        <f aca="false">IF(Calculations!A76,Dates!J76,"")</f>
        <v/>
      </c>
      <c r="G76" s="25" t="str">
        <f aca="false">IF(Calculations!A76,Dates!K76,"")</f>
        <v/>
      </c>
      <c r="H76" s="1" t="str">
        <f aca="false">IF(Calculations!A76,Dates!H76,"")</f>
        <v/>
      </c>
      <c r="I76" s="12"/>
      <c r="J76" s="20"/>
      <c r="K76" s="2" t="n">
        <f aca="false">IF(ISNUMBER(I76),1,0)</f>
        <v>0</v>
      </c>
      <c r="M76" s="2" t="str">
        <f aca="false">Calculations!I76</f>
        <v/>
      </c>
      <c r="N76" s="2" t="str">
        <f aca="false">IF(Calculations!A76,Settings!$B$5,"")</f>
        <v/>
      </c>
      <c r="O76" s="2" t="str">
        <f aca="false">Calculations!J76</f>
        <v/>
      </c>
      <c r="P76" s="2" t="str">
        <f aca="false">IF(Calculations!A76,Settings!$B$5,"")</f>
        <v/>
      </c>
      <c r="Q76" s="2" t="str">
        <f aca="false">Calculations!K76</f>
        <v/>
      </c>
      <c r="R76" s="2" t="str">
        <f aca="false">IF(Calculations!A76,Settings!$B$5,"")</f>
        <v/>
      </c>
      <c r="S76" s="2" t="str">
        <f aca="false">Calculations!L76</f>
        <v/>
      </c>
      <c r="T76" s="2" t="str">
        <f aca="false">IF(Calculations!A76,Settings!$B$5,"")</f>
        <v/>
      </c>
      <c r="U76" s="2" t="str">
        <f aca="false">Calculations!M76</f>
        <v/>
      </c>
      <c r="V76" s="2" t="str">
        <f aca="false">IF(Calculations!A76,Settings!$B$5,"")</f>
        <v/>
      </c>
      <c r="W76" s="2" t="str">
        <f aca="false">Calculations!N76</f>
        <v/>
      </c>
      <c r="X76" s="1" t="str">
        <f aca="false">Calculations!O76</f>
        <v/>
      </c>
      <c r="Y76" s="1" t="str">
        <f aca="false">IF(Calculations!P76="","",Calculations!P76)</f>
        <v/>
      </c>
    </row>
    <row r="77" customFormat="false" ht="13.8" hidden="false" customHeight="false" outlineLevel="0" collapsed="false">
      <c r="A77" s="23"/>
      <c r="B77" s="23"/>
      <c r="C77" s="2" t="str">
        <f aca="false">IF(Calculations!A77,Dates!D77,"")</f>
        <v/>
      </c>
      <c r="D77" s="2" t="str">
        <f aca="false">IF(Calculations!A77,1,"")</f>
        <v/>
      </c>
      <c r="E77" s="2" t="str">
        <f aca="false">IF(Calculations!A77,Dates!I77,"")</f>
        <v/>
      </c>
      <c r="F77" s="1" t="str">
        <f aca="false">IF(Calculations!A77,Dates!J77,"")</f>
        <v/>
      </c>
      <c r="G77" s="25" t="str">
        <f aca="false">IF(Calculations!A77,Dates!K77,"")</f>
        <v/>
      </c>
      <c r="H77" s="1" t="str">
        <f aca="false">IF(Calculations!A77,Dates!H77,"")</f>
        <v/>
      </c>
      <c r="I77" s="12"/>
      <c r="J77" s="20"/>
      <c r="K77" s="2" t="n">
        <f aca="false">IF(ISNUMBER(I77),1,0)</f>
        <v>0</v>
      </c>
      <c r="L77" s="2"/>
      <c r="M77" s="2" t="str">
        <f aca="false">Calculations!I77</f>
        <v/>
      </c>
      <c r="N77" s="2" t="str">
        <f aca="false">IF(Calculations!A77,Settings!$B$5,"")</f>
        <v/>
      </c>
      <c r="O77" s="2" t="str">
        <f aca="false">Calculations!J77</f>
        <v/>
      </c>
      <c r="P77" s="2" t="str">
        <f aca="false">IF(Calculations!A77,Settings!$B$5,"")</f>
        <v/>
      </c>
      <c r="Q77" s="2" t="str">
        <f aca="false">Calculations!K77</f>
        <v/>
      </c>
      <c r="R77" s="2" t="str">
        <f aca="false">IF(Calculations!A77,Settings!$B$5,"")</f>
        <v/>
      </c>
      <c r="S77" s="2" t="str">
        <f aca="false">Calculations!L77</f>
        <v/>
      </c>
      <c r="T77" s="2" t="str">
        <f aca="false">IF(Calculations!A77,Settings!$B$5,"")</f>
        <v/>
      </c>
      <c r="U77" s="2" t="str">
        <f aca="false">Calculations!M77</f>
        <v/>
      </c>
      <c r="V77" s="2" t="str">
        <f aca="false">IF(Calculations!A77,Settings!$B$5,"")</f>
        <v/>
      </c>
      <c r="W77" s="2" t="str">
        <f aca="false">Calculations!N77</f>
        <v/>
      </c>
      <c r="X77" s="1" t="str">
        <f aca="false">Calculations!O77</f>
        <v/>
      </c>
      <c r="Y77" s="1" t="str">
        <f aca="false">IF(Calculations!P77="","",Calculations!P77)</f>
        <v/>
      </c>
    </row>
    <row r="78" customFormat="false" ht="13.8" hidden="false" customHeight="false" outlineLevel="0" collapsed="false">
      <c r="A78" s="23"/>
      <c r="B78" s="23"/>
      <c r="C78" s="2" t="str">
        <f aca="false">IF(Calculations!A78,Dates!D78,"")</f>
        <v/>
      </c>
      <c r="D78" s="2" t="str">
        <f aca="false">IF(Calculations!A78,1,"")</f>
        <v/>
      </c>
      <c r="E78" s="2" t="str">
        <f aca="false">IF(Calculations!A78,Dates!I78,"")</f>
        <v/>
      </c>
      <c r="F78" s="1" t="str">
        <f aca="false">IF(Calculations!A78,Dates!J78,"")</f>
        <v/>
      </c>
      <c r="G78" s="25" t="str">
        <f aca="false">IF(Calculations!A78,Dates!K78,"")</f>
        <v/>
      </c>
      <c r="H78" s="1" t="str">
        <f aca="false">IF(Calculations!A78,Dates!H78,"")</f>
        <v/>
      </c>
      <c r="I78" s="12"/>
      <c r="J78" s="20"/>
      <c r="K78" s="2" t="n">
        <f aca="false">IF(ISNUMBER(I78),1,0)</f>
        <v>0</v>
      </c>
      <c r="L78" s="2"/>
      <c r="M78" s="2" t="str">
        <f aca="false">Calculations!I78</f>
        <v/>
      </c>
      <c r="N78" s="2" t="str">
        <f aca="false">IF(Calculations!A78,Settings!$B$5,"")</f>
        <v/>
      </c>
      <c r="O78" s="2" t="str">
        <f aca="false">Calculations!J78</f>
        <v/>
      </c>
      <c r="P78" s="2" t="str">
        <f aca="false">IF(Calculations!A78,Settings!$B$5,"")</f>
        <v/>
      </c>
      <c r="Q78" s="2" t="str">
        <f aca="false">Calculations!K78</f>
        <v/>
      </c>
      <c r="R78" s="2" t="str">
        <f aca="false">IF(Calculations!A78,Settings!$B$5,"")</f>
        <v/>
      </c>
      <c r="S78" s="2" t="str">
        <f aca="false">Calculations!L78</f>
        <v/>
      </c>
      <c r="T78" s="2" t="str">
        <f aca="false">IF(Calculations!A78,Settings!$B$5,"")</f>
        <v/>
      </c>
      <c r="U78" s="2" t="str">
        <f aca="false">Calculations!M78</f>
        <v/>
      </c>
      <c r="V78" s="2" t="str">
        <f aca="false">IF(Calculations!A78,Settings!$B$5,"")</f>
        <v/>
      </c>
      <c r="W78" s="2" t="str">
        <f aca="false">Calculations!N78</f>
        <v/>
      </c>
      <c r="X78" s="1" t="str">
        <f aca="false">Calculations!O78</f>
        <v/>
      </c>
      <c r="Y78" s="1" t="str">
        <f aca="false">IF(Calculations!P78="","",Calculations!P78)</f>
        <v/>
      </c>
    </row>
    <row r="79" customFormat="false" ht="13.8" hidden="false" customHeight="false" outlineLevel="0" collapsed="false">
      <c r="A79" s="23"/>
      <c r="B79" s="23"/>
      <c r="C79" s="2" t="str">
        <f aca="false">IF(Calculations!A79,Dates!D79,"")</f>
        <v/>
      </c>
      <c r="D79" s="2" t="str">
        <f aca="false">IF(Calculations!A79,1,"")</f>
        <v/>
      </c>
      <c r="E79" s="2" t="str">
        <f aca="false">IF(Calculations!A79,Dates!I79,"")</f>
        <v/>
      </c>
      <c r="F79" s="1" t="str">
        <f aca="false">IF(Calculations!A79,Dates!J79,"")</f>
        <v/>
      </c>
      <c r="G79" s="25" t="str">
        <f aca="false">IF(Calculations!A79,Dates!K79,"")</f>
        <v/>
      </c>
      <c r="H79" s="1" t="str">
        <f aca="false">IF(Calculations!A79,Dates!H79,"")</f>
        <v/>
      </c>
      <c r="I79" s="12"/>
      <c r="J79" s="20"/>
      <c r="K79" s="2" t="n">
        <f aca="false">IF(ISNUMBER(I79),1,0)</f>
        <v>0</v>
      </c>
      <c r="L79" s="2"/>
      <c r="M79" s="2" t="str">
        <f aca="false">Calculations!I79</f>
        <v/>
      </c>
      <c r="N79" s="2" t="str">
        <f aca="false">IF(Calculations!A79,Settings!$B$5,"")</f>
        <v/>
      </c>
      <c r="O79" s="2" t="str">
        <f aca="false">Calculations!J79</f>
        <v/>
      </c>
      <c r="P79" s="2" t="str">
        <f aca="false">IF(Calculations!A79,Settings!$B$5,"")</f>
        <v/>
      </c>
      <c r="Q79" s="2" t="str">
        <f aca="false">Calculations!K79</f>
        <v/>
      </c>
      <c r="R79" s="2" t="str">
        <f aca="false">IF(Calculations!A79,Settings!$B$5,"")</f>
        <v/>
      </c>
      <c r="S79" s="2" t="str">
        <f aca="false">Calculations!L79</f>
        <v/>
      </c>
      <c r="T79" s="2" t="str">
        <f aca="false">IF(Calculations!A79,Settings!$B$5,"")</f>
        <v/>
      </c>
      <c r="U79" s="2" t="str">
        <f aca="false">Calculations!M79</f>
        <v/>
      </c>
      <c r="V79" s="2" t="str">
        <f aca="false">IF(Calculations!A79,Settings!$B$5,"")</f>
        <v/>
      </c>
      <c r="W79" s="2" t="str">
        <f aca="false">Calculations!N79</f>
        <v/>
      </c>
      <c r="X79" s="1" t="str">
        <f aca="false">Calculations!O79</f>
        <v/>
      </c>
      <c r="Y79" s="1" t="str">
        <f aca="false">IF(Calculations!P79="","",Calculations!P79)</f>
        <v/>
      </c>
    </row>
    <row r="80" customFormat="false" ht="13.8" hidden="false" customHeight="false" outlineLevel="0" collapsed="false">
      <c r="A80" s="23"/>
      <c r="B80" s="23"/>
      <c r="C80" s="2" t="str">
        <f aca="false">IF(Calculations!A80,Dates!D80,"")</f>
        <v/>
      </c>
      <c r="D80" s="2" t="str">
        <f aca="false">IF(Calculations!A80,1,"")</f>
        <v/>
      </c>
      <c r="E80" s="2" t="str">
        <f aca="false">IF(Calculations!A80,Dates!I80,"")</f>
        <v/>
      </c>
      <c r="F80" s="1" t="str">
        <f aca="false">IF(Calculations!A80,Dates!J80,"")</f>
        <v/>
      </c>
      <c r="G80" s="25" t="str">
        <f aca="false">IF(Calculations!A80,Dates!K80,"")</f>
        <v/>
      </c>
      <c r="H80" s="1" t="str">
        <f aca="false">IF(Calculations!A80,Dates!H80,"")</f>
        <v/>
      </c>
      <c r="I80" s="12"/>
      <c r="J80" s="12"/>
      <c r="K80" s="2" t="n">
        <f aca="false">IF(ISNUMBER(I80),1,0)</f>
        <v>0</v>
      </c>
      <c r="L80" s="2"/>
      <c r="M80" s="2" t="str">
        <f aca="false">Calculations!I80</f>
        <v/>
      </c>
      <c r="N80" s="2" t="str">
        <f aca="false">IF(Calculations!A80,Settings!$B$5,"")</f>
        <v/>
      </c>
      <c r="O80" s="2" t="str">
        <f aca="false">Calculations!J80</f>
        <v/>
      </c>
      <c r="P80" s="2" t="str">
        <f aca="false">IF(Calculations!A80,Settings!$B$5,"")</f>
        <v/>
      </c>
      <c r="Q80" s="2" t="str">
        <f aca="false">Calculations!K80</f>
        <v/>
      </c>
      <c r="R80" s="2" t="str">
        <f aca="false">IF(Calculations!A80,Settings!$B$5,"")</f>
        <v/>
      </c>
      <c r="S80" s="2" t="str">
        <f aca="false">Calculations!L80</f>
        <v/>
      </c>
      <c r="T80" s="2" t="str">
        <f aca="false">IF(Calculations!A80,Settings!$B$5,"")</f>
        <v/>
      </c>
      <c r="U80" s="2" t="str">
        <f aca="false">Calculations!M80</f>
        <v/>
      </c>
      <c r="V80" s="2" t="str">
        <f aca="false">IF(Calculations!A80,Settings!$B$5,"")</f>
        <v/>
      </c>
      <c r="W80" s="2" t="str">
        <f aca="false">Calculations!N80</f>
        <v/>
      </c>
      <c r="X80" s="1" t="str">
        <f aca="false">Calculations!O80</f>
        <v/>
      </c>
      <c r="Y80" s="1" t="str">
        <f aca="false">IF(Calculations!P80="","",Calculations!P80)</f>
        <v/>
      </c>
    </row>
    <row r="81" customFormat="false" ht="13.8" hidden="false" customHeight="false" outlineLevel="0" collapsed="false">
      <c r="A81" s="23"/>
      <c r="B81" s="23"/>
      <c r="C81" s="2" t="str">
        <f aca="false">IF(Calculations!A81,Dates!D81,"")</f>
        <v/>
      </c>
      <c r="D81" s="2" t="str">
        <f aca="false">IF(Calculations!A81,1,"")</f>
        <v/>
      </c>
      <c r="E81" s="2" t="str">
        <f aca="false">IF(Calculations!A81,Dates!I81,"")</f>
        <v/>
      </c>
      <c r="F81" s="1" t="str">
        <f aca="false">IF(Calculations!A81,Dates!J81,"")</f>
        <v/>
      </c>
      <c r="G81" s="25" t="str">
        <f aca="false">IF(Calculations!A81,Dates!K81,"")</f>
        <v/>
      </c>
      <c r="H81" s="1" t="str">
        <f aca="false">IF(Calculations!A81,Dates!H81,"")</f>
        <v/>
      </c>
      <c r="I81" s="20"/>
      <c r="J81" s="12"/>
      <c r="K81" s="2" t="n">
        <f aca="false">IF(ISNUMBER(I81),1,0)</f>
        <v>0</v>
      </c>
      <c r="L81" s="2"/>
      <c r="M81" s="2" t="str">
        <f aca="false">Calculations!I81</f>
        <v/>
      </c>
      <c r="N81" s="2" t="str">
        <f aca="false">IF(Calculations!A81,Settings!$B$5,"")</f>
        <v/>
      </c>
      <c r="O81" s="2" t="str">
        <f aca="false">Calculations!J81</f>
        <v/>
      </c>
      <c r="P81" s="2" t="str">
        <f aca="false">IF(Calculations!A81,Settings!$B$5,"")</f>
        <v/>
      </c>
      <c r="Q81" s="2" t="str">
        <f aca="false">Calculations!K81</f>
        <v/>
      </c>
      <c r="R81" s="2" t="str">
        <f aca="false">IF(Calculations!A81,Settings!$B$5,"")</f>
        <v/>
      </c>
      <c r="S81" s="2" t="str">
        <f aca="false">Calculations!L81</f>
        <v/>
      </c>
      <c r="T81" s="2" t="str">
        <f aca="false">IF(Calculations!A81,Settings!$B$5,"")</f>
        <v/>
      </c>
      <c r="U81" s="2" t="str">
        <f aca="false">Calculations!M81</f>
        <v/>
      </c>
      <c r="V81" s="2" t="str">
        <f aca="false">IF(Calculations!A81,Settings!$B$5,"")</f>
        <v/>
      </c>
      <c r="W81" s="2" t="str">
        <f aca="false">Calculations!N81</f>
        <v/>
      </c>
      <c r="X81" s="1" t="str">
        <f aca="false">Calculations!O81</f>
        <v/>
      </c>
      <c r="Y81" s="1" t="str">
        <f aca="false">IF(Calculations!P81="","",Calculations!P81)</f>
        <v/>
      </c>
    </row>
    <row r="82" customFormat="false" ht="13.8" hidden="false" customHeight="false" outlineLevel="0" collapsed="false">
      <c r="A82" s="23"/>
      <c r="B82" s="23"/>
      <c r="C82" s="2" t="str">
        <f aca="false">IF(Calculations!A82,Dates!D82,"")</f>
        <v/>
      </c>
      <c r="D82" s="2" t="str">
        <f aca="false">IF(Calculations!A82,1,"")</f>
        <v/>
      </c>
      <c r="E82" s="2" t="str">
        <f aca="false">IF(Calculations!A82,Dates!I82,"")</f>
        <v/>
      </c>
      <c r="F82" s="1" t="str">
        <f aca="false">IF(Calculations!A82,Dates!J82,"")</f>
        <v/>
      </c>
      <c r="G82" s="25" t="str">
        <f aca="false">IF(Calculations!A82,Dates!K82,"")</f>
        <v/>
      </c>
      <c r="H82" s="1" t="str">
        <f aca="false">IF(Calculations!A82,Dates!H82,"")</f>
        <v/>
      </c>
      <c r="I82" s="12"/>
      <c r="J82" s="12"/>
      <c r="K82" s="2" t="n">
        <f aca="false">IF(ISNUMBER(I82),1,0)</f>
        <v>0</v>
      </c>
      <c r="L82" s="2"/>
      <c r="M82" s="2" t="str">
        <f aca="false">Calculations!I82</f>
        <v/>
      </c>
      <c r="N82" s="2" t="str">
        <f aca="false">IF(Calculations!A82,Settings!$B$5,"")</f>
        <v/>
      </c>
      <c r="O82" s="2" t="str">
        <f aca="false">Calculations!J82</f>
        <v/>
      </c>
      <c r="P82" s="2" t="str">
        <f aca="false">IF(Calculations!A82,Settings!$B$5,"")</f>
        <v/>
      </c>
      <c r="Q82" s="2" t="str">
        <f aca="false">Calculations!K82</f>
        <v/>
      </c>
      <c r="R82" s="2" t="str">
        <f aca="false">IF(Calculations!A82,Settings!$B$5,"")</f>
        <v/>
      </c>
      <c r="S82" s="2" t="str">
        <f aca="false">Calculations!L82</f>
        <v/>
      </c>
      <c r="T82" s="2" t="str">
        <f aca="false">IF(Calculations!A82,Settings!$B$5,"")</f>
        <v/>
      </c>
      <c r="U82" s="2" t="str">
        <f aca="false">Calculations!M82</f>
        <v/>
      </c>
      <c r="V82" s="2" t="str">
        <f aca="false">IF(Calculations!A82,Settings!$B$5,"")</f>
        <v/>
      </c>
      <c r="W82" s="2" t="str">
        <f aca="false">Calculations!N82</f>
        <v/>
      </c>
      <c r="X82" s="1" t="str">
        <f aca="false">Calculations!O82</f>
        <v/>
      </c>
      <c r="Y82" s="1" t="str">
        <f aca="false">IF(Calculations!P82="","",Calculations!P82)</f>
        <v/>
      </c>
    </row>
    <row r="83" customFormat="false" ht="13.8" hidden="false" customHeight="false" outlineLevel="0" collapsed="false">
      <c r="A83" s="23"/>
      <c r="B83" s="23"/>
      <c r="C83" s="2" t="str">
        <f aca="false">IF(Calculations!A83,Dates!D83,"")</f>
        <v/>
      </c>
      <c r="D83" s="2" t="str">
        <f aca="false">IF(Calculations!A83,1,"")</f>
        <v/>
      </c>
      <c r="E83" s="2" t="str">
        <f aca="false">IF(Calculations!A83,Dates!I83,"")</f>
        <v/>
      </c>
      <c r="F83" s="1" t="str">
        <f aca="false">IF(Calculations!A83,Dates!J83,"")</f>
        <v/>
      </c>
      <c r="G83" s="25" t="str">
        <f aca="false">IF(Calculations!A83,Dates!K83,"")</f>
        <v/>
      </c>
      <c r="H83" s="1" t="str">
        <f aca="false">IF(Calculations!A83,Dates!H83,"")</f>
        <v/>
      </c>
      <c r="I83" s="12"/>
      <c r="J83" s="12"/>
      <c r="K83" s="2" t="n">
        <f aca="false">IF(ISNUMBER(I83),1,0)</f>
        <v>0</v>
      </c>
      <c r="L83" s="2"/>
      <c r="M83" s="2" t="str">
        <f aca="false">Calculations!I83</f>
        <v/>
      </c>
      <c r="N83" s="2" t="str">
        <f aca="false">IF(Calculations!A83,Settings!$B$5,"")</f>
        <v/>
      </c>
      <c r="O83" s="2" t="str">
        <f aca="false">Calculations!J83</f>
        <v/>
      </c>
      <c r="P83" s="2" t="str">
        <f aca="false">IF(Calculations!A83,Settings!$B$5,"")</f>
        <v/>
      </c>
      <c r="Q83" s="2" t="str">
        <f aca="false">Calculations!K83</f>
        <v/>
      </c>
      <c r="R83" s="2" t="str">
        <f aca="false">IF(Calculations!A83,Settings!$B$5,"")</f>
        <v/>
      </c>
      <c r="S83" s="2" t="str">
        <f aca="false">Calculations!L83</f>
        <v/>
      </c>
      <c r="T83" s="2" t="str">
        <f aca="false">IF(Calculations!A83,Settings!$B$5,"")</f>
        <v/>
      </c>
      <c r="U83" s="2" t="str">
        <f aca="false">Calculations!M83</f>
        <v/>
      </c>
      <c r="V83" s="2" t="str">
        <f aca="false">IF(Calculations!A83,Settings!$B$5,"")</f>
        <v/>
      </c>
      <c r="W83" s="2" t="str">
        <f aca="false">Calculations!N83</f>
        <v/>
      </c>
      <c r="X83" s="1" t="str">
        <f aca="false">Calculations!O83</f>
        <v/>
      </c>
      <c r="Y83" s="1" t="str">
        <f aca="false">IF(Calculations!P83="","",Calculations!P83)</f>
        <v/>
      </c>
    </row>
    <row r="84" customFormat="false" ht="13.8" hidden="false" customHeight="false" outlineLevel="0" collapsed="false">
      <c r="A84" s="23"/>
      <c r="B84" s="23"/>
      <c r="C84" s="2" t="str">
        <f aca="false">IF(Calculations!A84,Dates!D84,"")</f>
        <v/>
      </c>
      <c r="D84" s="2" t="str">
        <f aca="false">IF(Calculations!A84,1,"")</f>
        <v/>
      </c>
      <c r="E84" s="2" t="str">
        <f aca="false">IF(Calculations!A84,Dates!I84,"")</f>
        <v/>
      </c>
      <c r="F84" s="1" t="str">
        <f aca="false">IF(Calculations!A84,Dates!J84,"")</f>
        <v/>
      </c>
      <c r="G84" s="25" t="str">
        <f aca="false">IF(Calculations!A84,Dates!K84,"")</f>
        <v/>
      </c>
      <c r="H84" s="1" t="str">
        <f aca="false">IF(Calculations!A84,Dates!H84,"")</f>
        <v/>
      </c>
      <c r="I84" s="12"/>
      <c r="J84" s="12"/>
      <c r="K84" s="2" t="n">
        <f aca="false">IF(ISNUMBER(I84),1,0)</f>
        <v>0</v>
      </c>
      <c r="L84" s="2"/>
      <c r="M84" s="2" t="str">
        <f aca="false">Calculations!I84</f>
        <v/>
      </c>
      <c r="N84" s="2" t="str">
        <f aca="false">IF(Calculations!A84,Settings!$B$5,"")</f>
        <v/>
      </c>
      <c r="O84" s="2" t="str">
        <f aca="false">Calculations!J84</f>
        <v/>
      </c>
      <c r="P84" s="2" t="str">
        <f aca="false">IF(Calculations!A84,Settings!$B$5,"")</f>
        <v/>
      </c>
      <c r="Q84" s="2" t="str">
        <f aca="false">Calculations!K84</f>
        <v/>
      </c>
      <c r="R84" s="2" t="str">
        <f aca="false">IF(Calculations!A84,Settings!$B$5,"")</f>
        <v/>
      </c>
      <c r="S84" s="2" t="str">
        <f aca="false">Calculations!L84</f>
        <v/>
      </c>
      <c r="T84" s="2" t="str">
        <f aca="false">IF(Calculations!A84,Settings!$B$5,"")</f>
        <v/>
      </c>
      <c r="U84" s="2" t="str">
        <f aca="false">Calculations!M84</f>
        <v/>
      </c>
      <c r="V84" s="2" t="str">
        <f aca="false">IF(Calculations!A84,Settings!$B$5,"")</f>
        <v/>
      </c>
      <c r="W84" s="2" t="str">
        <f aca="false">Calculations!N84</f>
        <v/>
      </c>
      <c r="X84" s="1" t="str">
        <f aca="false">Calculations!O84</f>
        <v/>
      </c>
      <c r="Y84" s="1" t="str">
        <f aca="false">IF(Calculations!P84="","",Calculations!P84)</f>
        <v/>
      </c>
    </row>
    <row r="85" customFormat="false" ht="13.8" hidden="false" customHeight="false" outlineLevel="0" collapsed="false">
      <c r="A85" s="23"/>
      <c r="B85" s="23"/>
      <c r="C85" s="2" t="str">
        <f aca="false">IF(Calculations!A85,Dates!D85,"")</f>
        <v/>
      </c>
      <c r="D85" s="2" t="str">
        <f aca="false">IF(Calculations!A85,1,"")</f>
        <v/>
      </c>
      <c r="E85" s="2" t="str">
        <f aca="false">IF(Calculations!A85,Dates!I85,"")</f>
        <v/>
      </c>
      <c r="F85" s="1" t="str">
        <f aca="false">IF(Calculations!A85,Dates!J85,"")</f>
        <v/>
      </c>
      <c r="G85" s="25" t="str">
        <f aca="false">IF(Calculations!A85,Dates!K85,"")</f>
        <v/>
      </c>
      <c r="H85" s="1" t="str">
        <f aca="false">IF(Calculations!A85,Dates!H85,"")</f>
        <v/>
      </c>
      <c r="I85" s="20"/>
      <c r="J85" s="12"/>
      <c r="K85" s="2" t="n">
        <f aca="false">IF(ISNUMBER(I85),1,0)</f>
        <v>0</v>
      </c>
      <c r="L85" s="2"/>
      <c r="M85" s="2" t="str">
        <f aca="false">Calculations!I85</f>
        <v/>
      </c>
      <c r="N85" s="2" t="str">
        <f aca="false">IF(Calculations!A85,Settings!$B$5,"")</f>
        <v/>
      </c>
      <c r="O85" s="2" t="str">
        <f aca="false">Calculations!J85</f>
        <v/>
      </c>
      <c r="P85" s="2" t="str">
        <f aca="false">IF(Calculations!A85,Settings!$B$5,"")</f>
        <v/>
      </c>
      <c r="Q85" s="2" t="str">
        <f aca="false">Calculations!K85</f>
        <v/>
      </c>
      <c r="R85" s="2" t="str">
        <f aca="false">IF(Calculations!A85,Settings!$B$5,"")</f>
        <v/>
      </c>
      <c r="S85" s="2" t="str">
        <f aca="false">Calculations!L85</f>
        <v/>
      </c>
      <c r="T85" s="2" t="str">
        <f aca="false">IF(Calculations!A85,Settings!$B$5,"")</f>
        <v/>
      </c>
      <c r="U85" s="2" t="str">
        <f aca="false">Calculations!M85</f>
        <v/>
      </c>
      <c r="V85" s="2" t="str">
        <f aca="false">IF(Calculations!A85,Settings!$B$5,"")</f>
        <v/>
      </c>
      <c r="W85" s="2" t="str">
        <f aca="false">Calculations!N85</f>
        <v/>
      </c>
      <c r="X85" s="1" t="str">
        <f aca="false">Calculations!O85</f>
        <v/>
      </c>
      <c r="Y85" s="1" t="str">
        <f aca="false">IF(Calculations!P85="","",Calculations!P85)</f>
        <v/>
      </c>
    </row>
    <row r="86" customFormat="false" ht="13.8" hidden="false" customHeight="false" outlineLevel="0" collapsed="false">
      <c r="A86" s="23"/>
      <c r="B86" s="23"/>
      <c r="C86" s="2" t="str">
        <f aca="false">IF(Calculations!A86,Dates!D86,"")</f>
        <v/>
      </c>
      <c r="D86" s="2" t="str">
        <f aca="false">IF(Calculations!A86,1,"")</f>
        <v/>
      </c>
      <c r="E86" s="2" t="str">
        <f aca="false">IF(Calculations!A86,Dates!I86,"")</f>
        <v/>
      </c>
      <c r="F86" s="1" t="str">
        <f aca="false">IF(Calculations!A86,Dates!J86,"")</f>
        <v/>
      </c>
      <c r="G86" s="25" t="str">
        <f aca="false">IF(Calculations!A86,Dates!K86,"")</f>
        <v/>
      </c>
      <c r="H86" s="1" t="str">
        <f aca="false">IF(Calculations!A86,Dates!H86,"")</f>
        <v/>
      </c>
      <c r="I86" s="12"/>
      <c r="J86" s="12"/>
      <c r="K86" s="2" t="n">
        <f aca="false">IF(ISNUMBER(I86),1,0)</f>
        <v>0</v>
      </c>
      <c r="L86" s="2"/>
      <c r="M86" s="2" t="str">
        <f aca="false">Calculations!I86</f>
        <v/>
      </c>
      <c r="N86" s="2" t="str">
        <f aca="false">IF(Calculations!A86,Settings!$B$5,"")</f>
        <v/>
      </c>
      <c r="O86" s="2" t="str">
        <f aca="false">Calculations!J86</f>
        <v/>
      </c>
      <c r="P86" s="2" t="str">
        <f aca="false">IF(Calculations!A86,Settings!$B$5,"")</f>
        <v/>
      </c>
      <c r="Q86" s="2" t="str">
        <f aca="false">Calculations!K86</f>
        <v/>
      </c>
      <c r="R86" s="2" t="str">
        <f aca="false">IF(Calculations!A86,Settings!$B$5,"")</f>
        <v/>
      </c>
      <c r="S86" s="2" t="str">
        <f aca="false">Calculations!L86</f>
        <v/>
      </c>
      <c r="T86" s="2" t="str">
        <f aca="false">IF(Calculations!A86,Settings!$B$5,"")</f>
        <v/>
      </c>
      <c r="U86" s="2" t="str">
        <f aca="false">Calculations!M86</f>
        <v/>
      </c>
      <c r="V86" s="2" t="str">
        <f aca="false">IF(Calculations!A86,Settings!$B$5,"")</f>
        <v/>
      </c>
      <c r="W86" s="2" t="str">
        <f aca="false">Calculations!N86</f>
        <v/>
      </c>
      <c r="X86" s="1" t="str">
        <f aca="false">Calculations!O86</f>
        <v/>
      </c>
      <c r="Y86" s="1" t="str">
        <f aca="false">IF(Calculations!P86="","",Calculations!P86)</f>
        <v/>
      </c>
    </row>
    <row r="87" customFormat="false" ht="13.8" hidden="false" customHeight="false" outlineLevel="0" collapsed="false">
      <c r="A87" s="23"/>
      <c r="B87" s="23"/>
      <c r="C87" s="2" t="str">
        <f aca="false">IF(Calculations!A87,Dates!D87,"")</f>
        <v/>
      </c>
      <c r="D87" s="2" t="str">
        <f aca="false">IF(Calculations!A87,1,"")</f>
        <v/>
      </c>
      <c r="E87" s="2" t="str">
        <f aca="false">IF(Calculations!A87,Dates!I87,"")</f>
        <v/>
      </c>
      <c r="F87" s="1" t="str">
        <f aca="false">IF(Calculations!A87,Dates!J87,"")</f>
        <v/>
      </c>
      <c r="G87" s="25" t="str">
        <f aca="false">IF(Calculations!A87,Dates!K87,"")</f>
        <v/>
      </c>
      <c r="H87" s="1" t="str">
        <f aca="false">IF(Calculations!A87,Dates!H87,"")</f>
        <v/>
      </c>
      <c r="I87" s="12"/>
      <c r="J87" s="12"/>
      <c r="K87" s="2" t="n">
        <f aca="false">IF(ISNUMBER(I87),1,0)</f>
        <v>0</v>
      </c>
      <c r="L87" s="2"/>
      <c r="M87" s="2" t="str">
        <f aca="false">Calculations!I87</f>
        <v/>
      </c>
      <c r="N87" s="2" t="str">
        <f aca="false">IF(Calculations!A87,Settings!$B$5,"")</f>
        <v/>
      </c>
      <c r="O87" s="2" t="str">
        <f aca="false">Calculations!J87</f>
        <v/>
      </c>
      <c r="P87" s="2" t="str">
        <f aca="false">IF(Calculations!A87,Settings!$B$5,"")</f>
        <v/>
      </c>
      <c r="Q87" s="2" t="str">
        <f aca="false">Calculations!K87</f>
        <v/>
      </c>
      <c r="R87" s="2" t="str">
        <f aca="false">IF(Calculations!A87,Settings!$B$5,"")</f>
        <v/>
      </c>
      <c r="S87" s="2" t="str">
        <f aca="false">Calculations!L87</f>
        <v/>
      </c>
      <c r="T87" s="2" t="str">
        <f aca="false">IF(Calculations!A87,Settings!$B$5,"")</f>
        <v/>
      </c>
      <c r="U87" s="2" t="str">
        <f aca="false">Calculations!M87</f>
        <v/>
      </c>
      <c r="V87" s="2" t="str">
        <f aca="false">IF(Calculations!A87,Settings!$B$5,"")</f>
        <v/>
      </c>
      <c r="W87" s="2" t="str">
        <f aca="false">Calculations!N87</f>
        <v/>
      </c>
      <c r="X87" s="1" t="str">
        <f aca="false">Calculations!O87</f>
        <v/>
      </c>
      <c r="Y87" s="1" t="str">
        <f aca="false">IF(Calculations!P87="","",Calculations!P87)</f>
        <v/>
      </c>
    </row>
    <row r="88" customFormat="false" ht="13.8" hidden="false" customHeight="false" outlineLevel="0" collapsed="false">
      <c r="A88" s="23"/>
      <c r="B88" s="23"/>
      <c r="C88" s="2" t="str">
        <f aca="false">IF(Calculations!A88,Dates!D88,"")</f>
        <v/>
      </c>
      <c r="D88" s="2" t="str">
        <f aca="false">IF(Calculations!A88,1,"")</f>
        <v/>
      </c>
      <c r="E88" s="2" t="str">
        <f aca="false">IF(Calculations!A88,Dates!I88,"")</f>
        <v/>
      </c>
      <c r="F88" s="1" t="str">
        <f aca="false">IF(Calculations!A88,Dates!J88,"")</f>
        <v/>
      </c>
      <c r="G88" s="25" t="str">
        <f aca="false">IF(Calculations!A88,Dates!K88,"")</f>
        <v/>
      </c>
      <c r="H88" s="1" t="str">
        <f aca="false">IF(Calculations!A88,Dates!H88,"")</f>
        <v/>
      </c>
      <c r="I88" s="12"/>
      <c r="J88" s="12"/>
      <c r="K88" s="2" t="n">
        <f aca="false">IF(ISNUMBER(I88),1,0)</f>
        <v>0</v>
      </c>
      <c r="L88" s="2"/>
      <c r="M88" s="2" t="str">
        <f aca="false">Calculations!I88</f>
        <v/>
      </c>
      <c r="N88" s="2" t="str">
        <f aca="false">IF(Calculations!A88,Settings!$B$5,"")</f>
        <v/>
      </c>
      <c r="O88" s="2" t="str">
        <f aca="false">Calculations!J88</f>
        <v/>
      </c>
      <c r="P88" s="2" t="str">
        <f aca="false">IF(Calculations!A88,Settings!$B$5,"")</f>
        <v/>
      </c>
      <c r="Q88" s="2" t="str">
        <f aca="false">Calculations!K88</f>
        <v/>
      </c>
      <c r="R88" s="2" t="str">
        <f aca="false">IF(Calculations!A88,Settings!$B$5,"")</f>
        <v/>
      </c>
      <c r="S88" s="2" t="str">
        <f aca="false">Calculations!L88</f>
        <v/>
      </c>
      <c r="T88" s="2" t="str">
        <f aca="false">IF(Calculations!A88,Settings!$B$5,"")</f>
        <v/>
      </c>
      <c r="U88" s="2" t="str">
        <f aca="false">Calculations!M88</f>
        <v/>
      </c>
      <c r="V88" s="2" t="str">
        <f aca="false">IF(Calculations!A88,Settings!$B$5,"")</f>
        <v/>
      </c>
      <c r="W88" s="2" t="str">
        <f aca="false">Calculations!N88</f>
        <v/>
      </c>
      <c r="X88" s="1" t="str">
        <f aca="false">Calculations!O88</f>
        <v/>
      </c>
      <c r="Y88" s="1" t="str">
        <f aca="false">IF(Calculations!P88="","",Calculations!P88)</f>
        <v/>
      </c>
    </row>
    <row r="89" customFormat="false" ht="13.8" hidden="false" customHeight="false" outlineLevel="0" collapsed="false">
      <c r="A89" s="23"/>
      <c r="B89" s="23"/>
      <c r="C89" s="2" t="str">
        <f aca="false">IF(Calculations!A89,Dates!D89,"")</f>
        <v/>
      </c>
      <c r="D89" s="2" t="str">
        <f aca="false">IF(Calculations!A89,1,"")</f>
        <v/>
      </c>
      <c r="E89" s="2" t="str">
        <f aca="false">IF(Calculations!A89,Dates!I89,"")</f>
        <v/>
      </c>
      <c r="F89" s="1" t="str">
        <f aca="false">IF(Calculations!A89,Dates!J89,"")</f>
        <v/>
      </c>
      <c r="G89" s="25" t="str">
        <f aca="false">IF(Calculations!A89,Dates!K89,"")</f>
        <v/>
      </c>
      <c r="H89" s="1" t="str">
        <f aca="false">IF(Calculations!A89,Dates!H89,"")</f>
        <v/>
      </c>
      <c r="I89" s="12"/>
      <c r="J89" s="12"/>
      <c r="K89" s="2" t="n">
        <f aca="false">IF(ISNUMBER(I89),1,0)</f>
        <v>0</v>
      </c>
      <c r="L89" s="2"/>
      <c r="M89" s="2" t="str">
        <f aca="false">Calculations!I89</f>
        <v/>
      </c>
      <c r="N89" s="2" t="str">
        <f aca="false">IF(Calculations!A89,Settings!$B$5,"")</f>
        <v/>
      </c>
      <c r="O89" s="2" t="str">
        <f aca="false">Calculations!J89</f>
        <v/>
      </c>
      <c r="P89" s="2" t="str">
        <f aca="false">IF(Calculations!A89,Settings!$B$5,"")</f>
        <v/>
      </c>
      <c r="Q89" s="2" t="str">
        <f aca="false">Calculations!K89</f>
        <v/>
      </c>
      <c r="R89" s="2" t="str">
        <f aca="false">IF(Calculations!A89,Settings!$B$5,"")</f>
        <v/>
      </c>
      <c r="S89" s="2" t="str">
        <f aca="false">Calculations!L89</f>
        <v/>
      </c>
      <c r="T89" s="2" t="str">
        <f aca="false">IF(Calculations!A89,Settings!$B$5,"")</f>
        <v/>
      </c>
      <c r="U89" s="2" t="str">
        <f aca="false">Calculations!M89</f>
        <v/>
      </c>
      <c r="V89" s="2" t="str">
        <f aca="false">IF(Calculations!A89,Settings!$B$5,"")</f>
        <v/>
      </c>
      <c r="W89" s="2" t="str">
        <f aca="false">Calculations!N89</f>
        <v/>
      </c>
      <c r="X89" s="1" t="str">
        <f aca="false">Calculations!O89</f>
        <v/>
      </c>
      <c r="Y89" s="1" t="str">
        <f aca="false">IF(Calculations!P89="","",Calculations!P89)</f>
        <v/>
      </c>
    </row>
    <row r="90" customFormat="false" ht="13.8" hidden="false" customHeight="false" outlineLevel="0" collapsed="false">
      <c r="A90" s="23"/>
      <c r="B90" s="23"/>
      <c r="C90" s="2" t="str">
        <f aca="false">IF(Calculations!A90,Dates!D90,"")</f>
        <v/>
      </c>
      <c r="D90" s="2" t="str">
        <f aca="false">IF(Calculations!A90,1,"")</f>
        <v/>
      </c>
      <c r="E90" s="2" t="str">
        <f aca="false">IF(Calculations!A90,Dates!I90,"")</f>
        <v/>
      </c>
      <c r="F90" s="1" t="str">
        <f aca="false">IF(Calculations!A90,Dates!J90,"")</f>
        <v/>
      </c>
      <c r="G90" s="25" t="str">
        <f aca="false">IF(Calculations!A90,Dates!K90,"")</f>
        <v/>
      </c>
      <c r="H90" s="1" t="str">
        <f aca="false">IF(Calculations!A90,Dates!H90,"")</f>
        <v/>
      </c>
      <c r="I90" s="12"/>
      <c r="J90" s="12"/>
      <c r="K90" s="2" t="n">
        <f aca="false">IF(ISNUMBER(I90),1,0)</f>
        <v>0</v>
      </c>
      <c r="L90" s="2"/>
      <c r="M90" s="2" t="str">
        <f aca="false">Calculations!I90</f>
        <v/>
      </c>
      <c r="N90" s="2" t="str">
        <f aca="false">IF(Calculations!A90,Settings!$B$5,"")</f>
        <v/>
      </c>
      <c r="O90" s="2" t="str">
        <f aca="false">Calculations!J90</f>
        <v/>
      </c>
      <c r="P90" s="2" t="str">
        <f aca="false">IF(Calculations!A90,Settings!$B$5,"")</f>
        <v/>
      </c>
      <c r="Q90" s="2" t="str">
        <f aca="false">Calculations!K90</f>
        <v/>
      </c>
      <c r="R90" s="2" t="str">
        <f aca="false">IF(Calculations!A90,Settings!$B$5,"")</f>
        <v/>
      </c>
      <c r="S90" s="2" t="str">
        <f aca="false">Calculations!L90</f>
        <v/>
      </c>
      <c r="T90" s="2" t="str">
        <f aca="false">IF(Calculations!A90,Settings!$B$5,"")</f>
        <v/>
      </c>
      <c r="U90" s="2" t="str">
        <f aca="false">Calculations!M90</f>
        <v/>
      </c>
      <c r="V90" s="2" t="str">
        <f aca="false">IF(Calculations!A90,Settings!$B$5,"")</f>
        <v/>
      </c>
      <c r="W90" s="2" t="str">
        <f aca="false">Calculations!N90</f>
        <v/>
      </c>
      <c r="X90" s="1" t="str">
        <f aca="false">Calculations!O90</f>
        <v/>
      </c>
      <c r="Y90" s="1" t="str">
        <f aca="false">IF(Calculations!P90="","",Calculations!P90)</f>
        <v/>
      </c>
    </row>
    <row r="91" customFormat="false" ht="13.8" hidden="false" customHeight="false" outlineLevel="0" collapsed="false">
      <c r="A91" s="23"/>
      <c r="B91" s="23"/>
      <c r="C91" s="2" t="str">
        <f aca="false">IF(Calculations!A91,Dates!D91,"")</f>
        <v/>
      </c>
      <c r="D91" s="2" t="str">
        <f aca="false">IF(Calculations!A91,1,"")</f>
        <v/>
      </c>
      <c r="E91" s="2" t="str">
        <f aca="false">IF(Calculations!A91,Dates!I91,"")</f>
        <v/>
      </c>
      <c r="F91" s="1" t="str">
        <f aca="false">IF(Calculations!A91,Dates!J91,"")</f>
        <v/>
      </c>
      <c r="G91" s="25" t="str">
        <f aca="false">IF(Calculations!A91,Dates!K91,"")</f>
        <v/>
      </c>
      <c r="H91" s="1" t="str">
        <f aca="false">IF(Calculations!A91,Dates!H91,"")</f>
        <v/>
      </c>
      <c r="I91" s="12"/>
      <c r="J91" s="12"/>
      <c r="K91" s="2" t="n">
        <f aca="false">IF(ISNUMBER(I91),1,0)</f>
        <v>0</v>
      </c>
      <c r="M91" s="2" t="str">
        <f aca="false">Calculations!I91</f>
        <v/>
      </c>
      <c r="N91" s="2" t="str">
        <f aca="false">IF(Calculations!A91,Settings!$B$5,"")</f>
        <v/>
      </c>
      <c r="O91" s="2" t="str">
        <f aca="false">Calculations!J91</f>
        <v/>
      </c>
      <c r="P91" s="2" t="str">
        <f aca="false">IF(Calculations!A91,Settings!$B$5,"")</f>
        <v/>
      </c>
      <c r="Q91" s="2" t="str">
        <f aca="false">Calculations!K91</f>
        <v/>
      </c>
      <c r="R91" s="2" t="str">
        <f aca="false">IF(Calculations!A91,Settings!$B$5,"")</f>
        <v/>
      </c>
      <c r="S91" s="2" t="str">
        <f aca="false">Calculations!L91</f>
        <v/>
      </c>
      <c r="T91" s="2" t="str">
        <f aca="false">IF(Calculations!A91,Settings!$B$5,"")</f>
        <v/>
      </c>
      <c r="U91" s="2" t="str">
        <f aca="false">Calculations!M91</f>
        <v/>
      </c>
      <c r="V91" s="2" t="str">
        <f aca="false">IF(Calculations!A91,Settings!$B$5,"")</f>
        <v/>
      </c>
      <c r="W91" s="2" t="str">
        <f aca="false">Calculations!N91</f>
        <v/>
      </c>
      <c r="X91" s="1" t="str">
        <f aca="false">Calculations!O91</f>
        <v/>
      </c>
      <c r="Y91" s="1" t="str">
        <f aca="false">IF(Calculations!P91="","",Calculations!P91)</f>
        <v/>
      </c>
    </row>
    <row r="92" customFormat="false" ht="13.8" hidden="false" customHeight="false" outlineLevel="0" collapsed="false">
      <c r="A92" s="23"/>
      <c r="B92" s="23"/>
      <c r="C92" s="2" t="str">
        <f aca="false">IF(Calculations!A92,Dates!D92,"")</f>
        <v/>
      </c>
      <c r="D92" s="2" t="str">
        <f aca="false">IF(Calculations!A92,1,"")</f>
        <v/>
      </c>
      <c r="E92" s="2" t="str">
        <f aca="false">IF(Calculations!A92,Dates!I92,"")</f>
        <v/>
      </c>
      <c r="F92" s="1" t="str">
        <f aca="false">IF(Calculations!A92,Dates!J92,"")</f>
        <v/>
      </c>
      <c r="G92" s="25" t="str">
        <f aca="false">IF(Calculations!A92,Dates!K92,"")</f>
        <v/>
      </c>
      <c r="H92" s="1" t="str">
        <f aca="false">IF(Calculations!A92,Dates!H92,"")</f>
        <v/>
      </c>
      <c r="I92" s="12"/>
      <c r="J92" s="12"/>
      <c r="K92" s="2" t="n">
        <f aca="false">IF(ISNUMBER(I92),1,0)</f>
        <v>0</v>
      </c>
      <c r="M92" s="2" t="str">
        <f aca="false">Calculations!I92</f>
        <v/>
      </c>
      <c r="N92" s="2" t="str">
        <f aca="false">IF(Calculations!A92,Settings!$B$5,"")</f>
        <v/>
      </c>
      <c r="O92" s="2" t="str">
        <f aca="false">Calculations!J92</f>
        <v/>
      </c>
      <c r="P92" s="2" t="str">
        <f aca="false">IF(Calculations!A92,Settings!$B$5,"")</f>
        <v/>
      </c>
      <c r="Q92" s="2" t="str">
        <f aca="false">Calculations!K92</f>
        <v/>
      </c>
      <c r="R92" s="2" t="str">
        <f aca="false">IF(Calculations!A92,Settings!$B$5,"")</f>
        <v/>
      </c>
      <c r="S92" s="2" t="str">
        <f aca="false">Calculations!L92</f>
        <v/>
      </c>
      <c r="T92" s="2" t="str">
        <f aca="false">IF(Calculations!A92,Settings!$B$5,"")</f>
        <v/>
      </c>
      <c r="U92" s="2" t="str">
        <f aca="false">Calculations!M92</f>
        <v/>
      </c>
      <c r="V92" s="2" t="str">
        <f aca="false">IF(Calculations!A92,Settings!$B$5,"")</f>
        <v/>
      </c>
      <c r="W92" s="2" t="str">
        <f aca="false">Calculations!N92</f>
        <v/>
      </c>
      <c r="X92" s="1" t="str">
        <f aca="false">Calculations!O92</f>
        <v/>
      </c>
      <c r="Y92" s="1" t="str">
        <f aca="false">IF(Calculations!P92="","",Calculations!P92)</f>
        <v/>
      </c>
    </row>
    <row r="93" customFormat="false" ht="13.8" hidden="false" customHeight="false" outlineLevel="0" collapsed="false">
      <c r="A93" s="23"/>
      <c r="B93" s="23"/>
      <c r="C93" s="2" t="str">
        <f aca="false">IF(Calculations!A93,Dates!D93,"")</f>
        <v/>
      </c>
      <c r="D93" s="2" t="str">
        <f aca="false">IF(Calculations!A93,1,"")</f>
        <v/>
      </c>
      <c r="E93" s="2" t="str">
        <f aca="false">IF(Calculations!A93,Dates!I93,"")</f>
        <v/>
      </c>
      <c r="F93" s="1" t="str">
        <f aca="false">IF(Calculations!A93,Dates!J93,"")</f>
        <v/>
      </c>
      <c r="G93" s="25" t="str">
        <f aca="false">IF(Calculations!A93,Dates!K93,"")</f>
        <v/>
      </c>
      <c r="H93" s="1" t="str">
        <f aca="false">IF(Calculations!A93,Dates!H93,"")</f>
        <v/>
      </c>
      <c r="I93" s="12"/>
      <c r="J93" s="12"/>
      <c r="K93" s="2" t="n">
        <f aca="false">IF(ISNUMBER(I93),1,0)</f>
        <v>0</v>
      </c>
      <c r="M93" s="2" t="str">
        <f aca="false">Calculations!I93</f>
        <v/>
      </c>
      <c r="N93" s="2" t="str">
        <f aca="false">IF(Calculations!A93,Settings!$B$5,"")</f>
        <v/>
      </c>
      <c r="O93" s="2" t="str">
        <f aca="false">Calculations!J93</f>
        <v/>
      </c>
      <c r="P93" s="2" t="str">
        <f aca="false">IF(Calculations!A93,Settings!$B$5,"")</f>
        <v/>
      </c>
      <c r="Q93" s="2" t="str">
        <f aca="false">Calculations!K93</f>
        <v/>
      </c>
      <c r="R93" s="2" t="str">
        <f aca="false">IF(Calculations!A93,Settings!$B$5,"")</f>
        <v/>
      </c>
      <c r="S93" s="2" t="str">
        <f aca="false">Calculations!L93</f>
        <v/>
      </c>
      <c r="T93" s="2" t="str">
        <f aca="false">IF(Calculations!A93,Settings!$B$5,"")</f>
        <v/>
      </c>
      <c r="U93" s="2" t="str">
        <f aca="false">Calculations!M93</f>
        <v/>
      </c>
      <c r="V93" s="2" t="str">
        <f aca="false">IF(Calculations!A93,Settings!$B$5,"")</f>
        <v/>
      </c>
      <c r="W93" s="2" t="str">
        <f aca="false">Calculations!N93</f>
        <v/>
      </c>
      <c r="X93" s="1" t="str">
        <f aca="false">Calculations!O93</f>
        <v/>
      </c>
      <c r="Y93" s="1" t="str">
        <f aca="false">IF(Calculations!P93="","",Calculations!P93)</f>
        <v/>
      </c>
    </row>
    <row r="94" customFormat="false" ht="13.8" hidden="false" customHeight="false" outlineLevel="0" collapsed="false">
      <c r="A94" s="23"/>
      <c r="B94" s="23"/>
      <c r="C94" s="2" t="str">
        <f aca="false">IF(Calculations!A94,Dates!D94,"")</f>
        <v/>
      </c>
      <c r="D94" s="2" t="str">
        <f aca="false">IF(Calculations!A94,1,"")</f>
        <v/>
      </c>
      <c r="E94" s="2" t="str">
        <f aca="false">IF(Calculations!A94,Dates!I94,"")</f>
        <v/>
      </c>
      <c r="F94" s="1" t="str">
        <f aca="false">IF(Calculations!A94,Dates!J94,"")</f>
        <v/>
      </c>
      <c r="G94" s="25" t="str">
        <f aca="false">IF(Calculations!A94,Dates!K94,"")</f>
        <v/>
      </c>
      <c r="H94" s="1" t="str">
        <f aca="false">IF(Calculations!A94,Dates!H94,"")</f>
        <v/>
      </c>
      <c r="I94" s="12"/>
      <c r="J94" s="12"/>
      <c r="K94" s="2" t="n">
        <f aca="false">IF(ISNUMBER(I94),1,0)</f>
        <v>0</v>
      </c>
      <c r="M94" s="2" t="str">
        <f aca="false">Calculations!I94</f>
        <v/>
      </c>
      <c r="N94" s="2" t="str">
        <f aca="false">IF(Calculations!A94,Settings!$B$5,"")</f>
        <v/>
      </c>
      <c r="O94" s="2" t="str">
        <f aca="false">Calculations!J94</f>
        <v/>
      </c>
      <c r="P94" s="2" t="str">
        <f aca="false">IF(Calculations!A94,Settings!$B$5,"")</f>
        <v/>
      </c>
      <c r="Q94" s="2" t="str">
        <f aca="false">Calculations!K94</f>
        <v/>
      </c>
      <c r="R94" s="2" t="str">
        <f aca="false">IF(Calculations!A94,Settings!$B$5,"")</f>
        <v/>
      </c>
      <c r="S94" s="2" t="str">
        <f aca="false">Calculations!L94</f>
        <v/>
      </c>
      <c r="T94" s="2" t="str">
        <f aca="false">IF(Calculations!A94,Settings!$B$5,"")</f>
        <v/>
      </c>
      <c r="U94" s="2" t="str">
        <f aca="false">Calculations!M94</f>
        <v/>
      </c>
      <c r="V94" s="2" t="str">
        <f aca="false">IF(Calculations!A94,Settings!$B$5,"")</f>
        <v/>
      </c>
      <c r="W94" s="2" t="str">
        <f aca="false">Calculations!N94</f>
        <v/>
      </c>
      <c r="X94" s="1" t="str">
        <f aca="false">Calculations!O94</f>
        <v/>
      </c>
      <c r="Y94" s="1" t="str">
        <f aca="false">IF(Calculations!P94="","",Calculations!P94)</f>
        <v/>
      </c>
    </row>
    <row r="95" customFormat="false" ht="13.8" hidden="false" customHeight="false" outlineLevel="0" collapsed="false">
      <c r="A95" s="23"/>
      <c r="B95" s="23"/>
      <c r="C95" s="2" t="str">
        <f aca="false">IF(Calculations!A95,Dates!D95,"")</f>
        <v/>
      </c>
      <c r="D95" s="2" t="str">
        <f aca="false">IF(Calculations!A95,1,"")</f>
        <v/>
      </c>
      <c r="E95" s="2" t="str">
        <f aca="false">IF(Calculations!A95,Dates!I95,"")</f>
        <v/>
      </c>
      <c r="F95" s="1" t="str">
        <f aca="false">IF(Calculations!A95,Dates!J95,"")</f>
        <v/>
      </c>
      <c r="G95" s="25" t="str">
        <f aca="false">IF(Calculations!A95,Dates!K95,"")</f>
        <v/>
      </c>
      <c r="H95" s="1" t="str">
        <f aca="false">IF(Calculations!A95,Dates!H95,"")</f>
        <v/>
      </c>
      <c r="I95" s="12"/>
      <c r="J95" s="12"/>
      <c r="K95" s="2" t="n">
        <f aca="false">IF(ISNUMBER(I95),1,0)</f>
        <v>0</v>
      </c>
      <c r="M95" s="2" t="str">
        <f aca="false">Calculations!I95</f>
        <v/>
      </c>
      <c r="N95" s="2" t="str">
        <f aca="false">IF(Calculations!A95,Settings!$B$5,"")</f>
        <v/>
      </c>
      <c r="O95" s="2" t="str">
        <f aca="false">Calculations!J95</f>
        <v/>
      </c>
      <c r="P95" s="2" t="str">
        <f aca="false">IF(Calculations!A95,Settings!$B$5,"")</f>
        <v/>
      </c>
      <c r="Q95" s="2" t="str">
        <f aca="false">Calculations!K95</f>
        <v/>
      </c>
      <c r="R95" s="2" t="str">
        <f aca="false">IF(Calculations!A95,Settings!$B$5,"")</f>
        <v/>
      </c>
      <c r="S95" s="2" t="str">
        <f aca="false">Calculations!L95</f>
        <v/>
      </c>
      <c r="T95" s="2" t="str">
        <f aca="false">IF(Calculations!A95,Settings!$B$5,"")</f>
        <v/>
      </c>
      <c r="U95" s="2" t="str">
        <f aca="false">Calculations!M95</f>
        <v/>
      </c>
      <c r="V95" s="2" t="str">
        <f aca="false">IF(Calculations!A95,Settings!$B$5,"")</f>
        <v/>
      </c>
      <c r="W95" s="2" t="str">
        <f aca="false">Calculations!N95</f>
        <v/>
      </c>
      <c r="X95" s="1" t="str">
        <f aca="false">Calculations!O95</f>
        <v/>
      </c>
      <c r="Y95" s="1" t="str">
        <f aca="false">IF(Calculations!P95="","",Calculations!P95)</f>
        <v/>
      </c>
    </row>
    <row r="96" customFormat="false" ht="13.8" hidden="false" customHeight="false" outlineLevel="0" collapsed="false">
      <c r="A96" s="23"/>
      <c r="B96" s="23"/>
      <c r="C96" s="2" t="str">
        <f aca="false">IF(Calculations!A96,Dates!D96,"")</f>
        <v/>
      </c>
      <c r="D96" s="2" t="str">
        <f aca="false">IF(Calculations!A96,1,"")</f>
        <v/>
      </c>
      <c r="E96" s="2" t="str">
        <f aca="false">IF(Calculations!A96,Dates!I96,"")</f>
        <v/>
      </c>
      <c r="F96" s="1" t="str">
        <f aca="false">IF(Calculations!A96,Dates!J96,"")</f>
        <v/>
      </c>
      <c r="G96" s="11" t="str">
        <f aca="false">IF(Calculations!A96,Dates!K96,"")</f>
        <v/>
      </c>
      <c r="H96" s="2" t="str">
        <f aca="false">IF(Calculations!A96,Dates!H96,"")</f>
        <v/>
      </c>
      <c r="I96" s="12"/>
      <c r="J96" s="12"/>
      <c r="K96" s="2" t="n">
        <f aca="false">IF(ISNUMBER(I96),1,0)</f>
        <v>0</v>
      </c>
      <c r="L96" s="26"/>
      <c r="M96" s="2" t="str">
        <f aca="false">Calculations!I96</f>
        <v/>
      </c>
      <c r="N96" s="2" t="str">
        <f aca="false">IF(Calculations!A96,Settings!$B$5,"")</f>
        <v/>
      </c>
      <c r="O96" s="2" t="str">
        <f aca="false">Calculations!J96</f>
        <v/>
      </c>
      <c r="P96" s="2" t="str">
        <f aca="false">IF(Calculations!A96,Settings!$B$5,"")</f>
        <v/>
      </c>
      <c r="Q96" s="2" t="str">
        <f aca="false">Calculations!K96</f>
        <v/>
      </c>
      <c r="R96" s="2" t="str">
        <f aca="false">IF(Calculations!A96,Settings!$B$5,"")</f>
        <v/>
      </c>
      <c r="S96" s="2" t="str">
        <f aca="false">Calculations!L96</f>
        <v/>
      </c>
      <c r="T96" s="2" t="str">
        <f aca="false">IF(Calculations!A96,Settings!$B$5,"")</f>
        <v/>
      </c>
      <c r="U96" s="2" t="str">
        <f aca="false">Calculations!M96</f>
        <v/>
      </c>
      <c r="V96" s="2" t="str">
        <f aca="false">IF(Calculations!A96,Settings!$B$5,"")</f>
        <v/>
      </c>
      <c r="W96" s="2" t="str">
        <f aca="false">Calculations!N96</f>
        <v/>
      </c>
      <c r="X96" s="2" t="str">
        <f aca="false">Calculations!O96</f>
        <v/>
      </c>
      <c r="Y96" s="1" t="str">
        <f aca="false">IF(Calculations!P96="","",Calculations!P96)</f>
        <v/>
      </c>
    </row>
    <row r="97" customFormat="false" ht="13.8" hidden="false" customHeight="false" outlineLevel="0" collapsed="false">
      <c r="A97" s="23"/>
      <c r="B97" s="23"/>
      <c r="C97" s="2" t="str">
        <f aca="false">IF(Calculations!A97,Dates!D97,"")</f>
        <v/>
      </c>
      <c r="D97" s="2" t="str">
        <f aca="false">IF(Calculations!A97,1,"")</f>
        <v/>
      </c>
      <c r="E97" s="2" t="str">
        <f aca="false">IF(Calculations!A97,Dates!I97,"")</f>
        <v/>
      </c>
      <c r="F97" s="1" t="str">
        <f aca="false">IF(Calculations!A97,Dates!J97,"")</f>
        <v/>
      </c>
      <c r="G97" s="11" t="str">
        <f aca="false">IF(Calculations!A97,Dates!K97,"")</f>
        <v/>
      </c>
      <c r="H97" s="2" t="str">
        <f aca="false">IF(Calculations!A97,Dates!H97,"")</f>
        <v/>
      </c>
      <c r="I97" s="12"/>
      <c r="J97" s="12"/>
      <c r="K97" s="2" t="n">
        <f aca="false">IF(ISNUMBER(I97),1,0)</f>
        <v>0</v>
      </c>
      <c r="L97" s="2"/>
      <c r="M97" s="2" t="str">
        <f aca="false">Calculations!I97</f>
        <v/>
      </c>
      <c r="N97" s="2" t="str">
        <f aca="false">IF(Calculations!A97,Settings!$B$5,"")</f>
        <v/>
      </c>
      <c r="O97" s="2" t="str">
        <f aca="false">Calculations!J97</f>
        <v/>
      </c>
      <c r="P97" s="2" t="str">
        <f aca="false">IF(Calculations!A97,Settings!$B$5,"")</f>
        <v/>
      </c>
      <c r="Q97" s="2" t="str">
        <f aca="false">Calculations!K97</f>
        <v/>
      </c>
      <c r="R97" s="2" t="str">
        <f aca="false">IF(Calculations!A97,Settings!$B$5,"")</f>
        <v/>
      </c>
      <c r="S97" s="2" t="str">
        <f aca="false">Calculations!L97</f>
        <v/>
      </c>
      <c r="T97" s="2" t="str">
        <f aca="false">IF(Calculations!A97,Settings!$B$5,"")</f>
        <v/>
      </c>
      <c r="U97" s="2" t="str">
        <f aca="false">Calculations!M97</f>
        <v/>
      </c>
      <c r="V97" s="2" t="str">
        <f aca="false">IF(Calculations!A97,Settings!$B$5,"")</f>
        <v/>
      </c>
      <c r="W97" s="2" t="str">
        <f aca="false">Calculations!N97</f>
        <v/>
      </c>
      <c r="X97" s="2" t="str">
        <f aca="false">Calculations!O97</f>
        <v/>
      </c>
      <c r="Y97" s="1" t="str">
        <f aca="false">IF(Calculations!P97="","",Calculations!P97)</f>
        <v/>
      </c>
    </row>
    <row r="98" customFormat="false" ht="13.8" hidden="false" customHeight="false" outlineLevel="0" collapsed="false">
      <c r="A98" s="23"/>
      <c r="B98" s="23"/>
      <c r="C98" s="2" t="str">
        <f aca="false">IF(Calculations!A98,Dates!D98,"")</f>
        <v/>
      </c>
      <c r="D98" s="2" t="str">
        <f aca="false">IF(Calculations!A98,1,"")</f>
        <v/>
      </c>
      <c r="E98" s="2" t="str">
        <f aca="false">IF(Calculations!A98,Dates!I98,"")</f>
        <v/>
      </c>
      <c r="F98" s="1" t="str">
        <f aca="false">IF(Calculations!A98,Dates!J98,"")</f>
        <v/>
      </c>
      <c r="G98" s="11" t="str">
        <f aca="false">IF(Calculations!A98,Dates!K98,"")</f>
        <v/>
      </c>
      <c r="H98" s="2" t="str">
        <f aca="false">IF(Calculations!A98,Dates!H98,"")</f>
        <v/>
      </c>
      <c r="I98" s="12"/>
      <c r="J98" s="12"/>
      <c r="K98" s="2" t="n">
        <f aca="false">IF(ISNUMBER(I98),1,0)</f>
        <v>0</v>
      </c>
      <c r="L98" s="2"/>
      <c r="M98" s="2" t="str">
        <f aca="false">Calculations!I98</f>
        <v/>
      </c>
      <c r="N98" s="2" t="str">
        <f aca="false">IF(Calculations!A98,Settings!$B$5,"")</f>
        <v/>
      </c>
      <c r="O98" s="2" t="str">
        <f aca="false">Calculations!J98</f>
        <v/>
      </c>
      <c r="P98" s="2" t="str">
        <f aca="false">IF(Calculations!A98,Settings!$B$5,"")</f>
        <v/>
      </c>
      <c r="Q98" s="2" t="str">
        <f aca="false">Calculations!K98</f>
        <v/>
      </c>
      <c r="R98" s="2" t="str">
        <f aca="false">IF(Calculations!A98,Settings!$B$5,"")</f>
        <v/>
      </c>
      <c r="S98" s="2" t="str">
        <f aca="false">Calculations!L98</f>
        <v/>
      </c>
      <c r="T98" s="2" t="str">
        <f aca="false">IF(Calculations!A98,Settings!$B$5,"")</f>
        <v/>
      </c>
      <c r="U98" s="2" t="str">
        <f aca="false">Calculations!M98</f>
        <v/>
      </c>
      <c r="V98" s="2" t="str">
        <f aca="false">IF(Calculations!A98,Settings!$B$5,"")</f>
        <v/>
      </c>
      <c r="W98" s="2" t="str">
        <f aca="false">Calculations!N98</f>
        <v/>
      </c>
      <c r="X98" s="2" t="str">
        <f aca="false">Calculations!O98</f>
        <v/>
      </c>
      <c r="Y98" s="1" t="str">
        <f aca="false">IF(Calculations!P98="","",Calculations!P98)</f>
        <v/>
      </c>
    </row>
    <row r="99" customFormat="false" ht="13.8" hidden="false" customHeight="false" outlineLevel="0" collapsed="false">
      <c r="A99" s="23"/>
      <c r="B99" s="23"/>
      <c r="C99" s="2" t="str">
        <f aca="false">IF(Calculations!A99,Dates!D99,"")</f>
        <v/>
      </c>
      <c r="D99" s="2" t="str">
        <f aca="false">IF(Calculations!A99,1,"")</f>
        <v/>
      </c>
      <c r="E99" s="2" t="str">
        <f aca="false">IF(Calculations!A99,Dates!I99,"")</f>
        <v/>
      </c>
      <c r="F99" s="1" t="str">
        <f aca="false">IF(Calculations!A99,Dates!J99,"")</f>
        <v/>
      </c>
      <c r="G99" s="11" t="str">
        <f aca="false">IF(Calculations!A99,Dates!K99,"")</f>
        <v/>
      </c>
      <c r="H99" s="2" t="str">
        <f aca="false">IF(Calculations!A99,Dates!H99,"")</f>
        <v/>
      </c>
      <c r="I99" s="12"/>
      <c r="J99" s="12"/>
      <c r="K99" s="2" t="n">
        <f aca="false">IF(ISNUMBER(I99),1,0)</f>
        <v>0</v>
      </c>
      <c r="L99" s="2"/>
      <c r="M99" s="2" t="str">
        <f aca="false">Calculations!I99</f>
        <v/>
      </c>
      <c r="N99" s="2" t="str">
        <f aca="false">IF(Calculations!A99,Settings!$B$5,"")</f>
        <v/>
      </c>
      <c r="O99" s="2" t="str">
        <f aca="false">Calculations!J99</f>
        <v/>
      </c>
      <c r="P99" s="2" t="str">
        <f aca="false">IF(Calculations!A99,Settings!$B$5,"")</f>
        <v/>
      </c>
      <c r="Q99" s="2" t="str">
        <f aca="false">Calculations!K99</f>
        <v/>
      </c>
      <c r="R99" s="2" t="str">
        <f aca="false">IF(Calculations!A99,Settings!$B$5,"")</f>
        <v/>
      </c>
      <c r="S99" s="2" t="str">
        <f aca="false">Calculations!L99</f>
        <v/>
      </c>
      <c r="T99" s="2" t="str">
        <f aca="false">IF(Calculations!A99,Settings!$B$5,"")</f>
        <v/>
      </c>
      <c r="U99" s="2" t="str">
        <f aca="false">Calculations!M99</f>
        <v/>
      </c>
      <c r="V99" s="2" t="str">
        <f aca="false">IF(Calculations!A99,Settings!$B$5,"")</f>
        <v/>
      </c>
      <c r="W99" s="2" t="str">
        <f aca="false">Calculations!N99</f>
        <v/>
      </c>
      <c r="X99" s="2" t="str">
        <f aca="false">Calculations!O99</f>
        <v/>
      </c>
      <c r="Y99" s="1" t="str">
        <f aca="false">IF(Calculations!P99="","",Calculations!P99)</f>
        <v/>
      </c>
    </row>
    <row r="100" customFormat="false" ht="13.8" hidden="false" customHeight="false" outlineLevel="0" collapsed="false">
      <c r="A100" s="23"/>
      <c r="B100" s="23"/>
      <c r="C100" s="2" t="str">
        <f aca="false">IF(Calculations!A100,Dates!D100,"")</f>
        <v/>
      </c>
      <c r="D100" s="2" t="str">
        <f aca="false">IF(Calculations!A100,1,"")</f>
        <v/>
      </c>
      <c r="E100" s="2" t="str">
        <f aca="false">IF(Calculations!A100,Dates!I100,"")</f>
        <v/>
      </c>
      <c r="F100" s="1" t="str">
        <f aca="false">IF(Calculations!A100,Dates!J100,"")</f>
        <v/>
      </c>
      <c r="G100" s="11" t="str">
        <f aca="false">IF(Calculations!A100,Dates!K100,"")</f>
        <v/>
      </c>
      <c r="H100" s="2" t="str">
        <f aca="false">IF(Calculations!A100,Dates!H100,"")</f>
        <v/>
      </c>
      <c r="I100" s="12"/>
      <c r="J100" s="12"/>
      <c r="K100" s="2" t="n">
        <f aca="false">IF(ISNUMBER(I100),1,0)</f>
        <v>0</v>
      </c>
      <c r="L100" s="2"/>
      <c r="M100" s="2" t="str">
        <f aca="false">Calculations!I100</f>
        <v/>
      </c>
      <c r="N100" s="2" t="str">
        <f aca="false">IF(Calculations!A100,Settings!$B$5,"")</f>
        <v/>
      </c>
      <c r="O100" s="2" t="str">
        <f aca="false">Calculations!J100</f>
        <v/>
      </c>
      <c r="P100" s="2" t="str">
        <f aca="false">IF(Calculations!A100,Settings!$B$5,"")</f>
        <v/>
      </c>
      <c r="Q100" s="2" t="str">
        <f aca="false">Calculations!K100</f>
        <v/>
      </c>
      <c r="R100" s="2" t="str">
        <f aca="false">IF(Calculations!A100,Settings!$B$5,"")</f>
        <v/>
      </c>
      <c r="S100" s="2" t="str">
        <f aca="false">Calculations!L100</f>
        <v/>
      </c>
      <c r="T100" s="2" t="str">
        <f aca="false">IF(Calculations!A100,Settings!$B$5,"")</f>
        <v/>
      </c>
      <c r="U100" s="2" t="str">
        <f aca="false">Calculations!M100</f>
        <v/>
      </c>
      <c r="V100" s="2" t="str">
        <f aca="false">IF(Calculations!A100,Settings!$B$5,"")</f>
        <v/>
      </c>
      <c r="W100" s="2" t="str">
        <f aca="false">Calculations!N100</f>
        <v/>
      </c>
      <c r="X100" s="2" t="str">
        <f aca="false">Calculations!O100</f>
        <v/>
      </c>
      <c r="Y100" s="1" t="str">
        <f aca="false">IF(Calculations!P100="","",Calculations!P100)</f>
        <v/>
      </c>
    </row>
    <row r="101" customFormat="false" ht="13.8" hidden="false" customHeight="false" outlineLevel="0" collapsed="false">
      <c r="A101" s="23"/>
      <c r="B101" s="23"/>
      <c r="C101" s="2" t="str">
        <f aca="false">IF(Calculations!A101,Dates!D101,"")</f>
        <v/>
      </c>
      <c r="D101" s="2" t="str">
        <f aca="false">IF(Calculations!A101,1,"")</f>
        <v/>
      </c>
      <c r="E101" s="2" t="str">
        <f aca="false">IF(Calculations!A101,Dates!I101,"")</f>
        <v/>
      </c>
      <c r="F101" s="1" t="str">
        <f aca="false">IF(Calculations!A101,Dates!J101,"")</f>
        <v/>
      </c>
      <c r="G101" s="11" t="str">
        <f aca="false">IF(Calculations!A101,Dates!K101,"")</f>
        <v/>
      </c>
      <c r="H101" s="2" t="str">
        <f aca="false">IF(Calculations!A101,Dates!H101,"")</f>
        <v/>
      </c>
      <c r="I101" s="12"/>
      <c r="J101" s="12"/>
      <c r="K101" s="2" t="n">
        <f aca="false">IF(ISNUMBER(I101),1,0)</f>
        <v>0</v>
      </c>
      <c r="L101" s="2"/>
      <c r="M101" s="2" t="str">
        <f aca="false">Calculations!I101</f>
        <v/>
      </c>
      <c r="N101" s="2" t="str">
        <f aca="false">IF(Calculations!A101,Settings!$B$5,"")</f>
        <v/>
      </c>
      <c r="O101" s="2" t="str">
        <f aca="false">Calculations!J101</f>
        <v/>
      </c>
      <c r="P101" s="2" t="str">
        <f aca="false">IF(Calculations!A101,Settings!$B$5,"")</f>
        <v/>
      </c>
      <c r="Q101" s="2" t="str">
        <f aca="false">Calculations!K101</f>
        <v/>
      </c>
      <c r="R101" s="2" t="str">
        <f aca="false">IF(Calculations!A101,Settings!$B$5,"")</f>
        <v/>
      </c>
      <c r="S101" s="2" t="str">
        <f aca="false">Calculations!L101</f>
        <v/>
      </c>
      <c r="T101" s="2" t="str">
        <f aca="false">IF(Calculations!A101,Settings!$B$5,"")</f>
        <v/>
      </c>
      <c r="U101" s="2" t="str">
        <f aca="false">Calculations!M101</f>
        <v/>
      </c>
      <c r="V101" s="2" t="str">
        <f aca="false">IF(Calculations!A101,Settings!$B$5,"")</f>
        <v/>
      </c>
      <c r="W101" s="2" t="str">
        <f aca="false">Calculations!N101</f>
        <v/>
      </c>
      <c r="X101" s="2" t="str">
        <f aca="false">Calculations!O101</f>
        <v/>
      </c>
      <c r="Y101" s="1" t="str">
        <f aca="false">IF(Calculations!P101="","",Calculations!P101)</f>
        <v/>
      </c>
    </row>
    <row r="102" customFormat="false" ht="13.8" hidden="false" customHeight="false" outlineLevel="0" collapsed="false">
      <c r="A102" s="23"/>
      <c r="B102" s="23"/>
      <c r="C102" s="2" t="str">
        <f aca="false">IF(Calculations!A102,Dates!D102,"")</f>
        <v/>
      </c>
      <c r="D102" s="2" t="str">
        <f aca="false">IF(Calculations!A102,1,"")</f>
        <v/>
      </c>
      <c r="E102" s="2" t="str">
        <f aca="false">IF(Calculations!A102,Dates!I102,"")</f>
        <v/>
      </c>
      <c r="F102" s="1" t="str">
        <f aca="false">IF(Calculations!A102,Dates!J102,"")</f>
        <v/>
      </c>
      <c r="G102" s="11" t="str">
        <f aca="false">IF(Calculations!A102,Dates!K102,"")</f>
        <v/>
      </c>
      <c r="H102" s="2" t="str">
        <f aca="false">IF(Calculations!A102,Dates!H102,"")</f>
        <v/>
      </c>
      <c r="I102" s="12"/>
      <c r="J102" s="12"/>
      <c r="K102" s="2" t="n">
        <f aca="false">IF(ISNUMBER(I102),1,0)</f>
        <v>0</v>
      </c>
      <c r="L102" s="2"/>
      <c r="M102" s="2" t="str">
        <f aca="false">Calculations!I102</f>
        <v/>
      </c>
      <c r="N102" s="2" t="str">
        <f aca="false">IF(Calculations!A102,Settings!$B$5,"")</f>
        <v/>
      </c>
      <c r="O102" s="2" t="str">
        <f aca="false">Calculations!J102</f>
        <v/>
      </c>
      <c r="P102" s="2" t="str">
        <f aca="false">IF(Calculations!A102,Settings!$B$5,"")</f>
        <v/>
      </c>
      <c r="Q102" s="2" t="str">
        <f aca="false">Calculations!K102</f>
        <v/>
      </c>
      <c r="R102" s="2" t="str">
        <f aca="false">IF(Calculations!A102,Settings!$B$5,"")</f>
        <v/>
      </c>
      <c r="S102" s="2" t="str">
        <f aca="false">Calculations!L102</f>
        <v/>
      </c>
      <c r="T102" s="2" t="str">
        <f aca="false">IF(Calculations!A102,Settings!$B$5,"")</f>
        <v/>
      </c>
      <c r="U102" s="2" t="str">
        <f aca="false">Calculations!M102</f>
        <v/>
      </c>
      <c r="V102" s="2" t="str">
        <f aca="false">IF(Calculations!A102,Settings!$B$5,"")</f>
        <v/>
      </c>
      <c r="W102" s="2" t="str">
        <f aca="false">Calculations!N102</f>
        <v/>
      </c>
      <c r="X102" s="2" t="str">
        <f aca="false">Calculations!O102</f>
        <v/>
      </c>
      <c r="Y102" s="1" t="str">
        <f aca="false">IF(Calculations!P102="","",Calculations!P102)</f>
        <v/>
      </c>
    </row>
    <row r="103" customFormat="false" ht="13.8" hidden="false" customHeight="false" outlineLevel="0" collapsed="false">
      <c r="A103" s="23"/>
      <c r="B103" s="23"/>
      <c r="C103" s="2" t="str">
        <f aca="false">IF(Calculations!A103,Dates!D103,"")</f>
        <v/>
      </c>
      <c r="D103" s="2" t="str">
        <f aca="false">IF(Calculations!A103,1,"")</f>
        <v/>
      </c>
      <c r="E103" s="2" t="str">
        <f aca="false">IF(Calculations!A103,Dates!I103,"")</f>
        <v/>
      </c>
      <c r="F103" s="1" t="str">
        <f aca="false">IF(Calculations!A103,Dates!J103,"")</f>
        <v/>
      </c>
      <c r="G103" s="11" t="str">
        <f aca="false">IF(Calculations!A103,Dates!K103,"")</f>
        <v/>
      </c>
      <c r="H103" s="2" t="str">
        <f aca="false">IF(Calculations!A103,Dates!H103,"")</f>
        <v/>
      </c>
      <c r="I103" s="12"/>
      <c r="J103" s="12"/>
      <c r="K103" s="2" t="n">
        <f aca="false">IF(ISNUMBER(I103),1,0)</f>
        <v>0</v>
      </c>
      <c r="L103" s="2"/>
      <c r="M103" s="2" t="str">
        <f aca="false">Calculations!I103</f>
        <v/>
      </c>
      <c r="N103" s="2" t="str">
        <f aca="false">IF(Calculations!A103,Settings!$B$5,"")</f>
        <v/>
      </c>
      <c r="O103" s="2" t="str">
        <f aca="false">Calculations!J103</f>
        <v/>
      </c>
      <c r="P103" s="2" t="str">
        <f aca="false">IF(Calculations!A103,Settings!$B$5,"")</f>
        <v/>
      </c>
      <c r="Q103" s="2" t="str">
        <f aca="false">Calculations!K103</f>
        <v/>
      </c>
      <c r="R103" s="2" t="str">
        <f aca="false">IF(Calculations!A103,Settings!$B$5,"")</f>
        <v/>
      </c>
      <c r="S103" s="2" t="str">
        <f aca="false">Calculations!L103</f>
        <v/>
      </c>
      <c r="T103" s="2" t="str">
        <f aca="false">IF(Calculations!A103,Settings!$B$5,"")</f>
        <v/>
      </c>
      <c r="U103" s="2" t="str">
        <f aca="false">Calculations!M103</f>
        <v/>
      </c>
      <c r="V103" s="2" t="str">
        <f aca="false">IF(Calculations!A103,Settings!$B$5,"")</f>
        <v/>
      </c>
      <c r="W103" s="2" t="str">
        <f aca="false">Calculations!N103</f>
        <v/>
      </c>
      <c r="X103" s="2" t="str">
        <f aca="false">Calculations!O103</f>
        <v/>
      </c>
      <c r="Y103" s="1" t="str">
        <f aca="false">IF(Calculations!P103="","",Calculations!P103)</f>
        <v/>
      </c>
    </row>
    <row r="104" customFormat="false" ht="13.8" hidden="false" customHeight="false" outlineLevel="0" collapsed="false">
      <c r="A104" s="23"/>
      <c r="B104" s="23"/>
      <c r="C104" s="2" t="str">
        <f aca="false">IF(Calculations!A104,Dates!D104,"")</f>
        <v/>
      </c>
      <c r="D104" s="2" t="str">
        <f aca="false">IF(Calculations!A104,1,"")</f>
        <v/>
      </c>
      <c r="E104" s="2" t="str">
        <f aca="false">IF(Calculations!A104,Dates!I104,"")</f>
        <v/>
      </c>
      <c r="F104" s="1" t="str">
        <f aca="false">IF(Calculations!A104,Dates!J104,"")</f>
        <v/>
      </c>
      <c r="G104" s="11" t="str">
        <f aca="false">IF(Calculations!A104,Dates!K104,"")</f>
        <v/>
      </c>
      <c r="H104" s="2" t="str">
        <f aca="false">IF(Calculations!A104,Dates!H104,"")</f>
        <v/>
      </c>
      <c r="I104" s="12"/>
      <c r="J104" s="12"/>
      <c r="K104" s="2" t="n">
        <f aca="false">IF(ISNUMBER(I104),1,0)</f>
        <v>0</v>
      </c>
      <c r="L104" s="2"/>
      <c r="M104" s="2" t="str">
        <f aca="false">Calculations!I104</f>
        <v/>
      </c>
      <c r="N104" s="2" t="str">
        <f aca="false">IF(Calculations!A104,Settings!$B$5,"")</f>
        <v/>
      </c>
      <c r="O104" s="2" t="str">
        <f aca="false">Calculations!J104</f>
        <v/>
      </c>
      <c r="P104" s="2" t="str">
        <f aca="false">IF(Calculations!A104,Settings!$B$5,"")</f>
        <v/>
      </c>
      <c r="Q104" s="2" t="str">
        <f aca="false">Calculations!K104</f>
        <v/>
      </c>
      <c r="R104" s="2" t="str">
        <f aca="false">IF(Calculations!A104,Settings!$B$5,"")</f>
        <v/>
      </c>
      <c r="S104" s="2" t="str">
        <f aca="false">Calculations!L104</f>
        <v/>
      </c>
      <c r="T104" s="2" t="str">
        <f aca="false">IF(Calculations!A104,Settings!$B$5,"")</f>
        <v/>
      </c>
      <c r="U104" s="2" t="str">
        <f aca="false">Calculations!M104</f>
        <v/>
      </c>
      <c r="V104" s="2" t="str">
        <f aca="false">IF(Calculations!A104,Settings!$B$5,"")</f>
        <v/>
      </c>
      <c r="W104" s="2" t="str">
        <f aca="false">Calculations!N104</f>
        <v/>
      </c>
      <c r="X104" s="2" t="str">
        <f aca="false">Calculations!O104</f>
        <v/>
      </c>
      <c r="Y104" s="1" t="str">
        <f aca="false">IF(Calculations!P104="","",Calculations!P104)</f>
        <v/>
      </c>
    </row>
    <row r="105" customFormat="false" ht="13.8" hidden="false" customHeight="false" outlineLevel="0" collapsed="false">
      <c r="A105" s="23"/>
      <c r="B105" s="23"/>
      <c r="C105" s="2" t="str">
        <f aca="false">IF(Calculations!A105,Dates!D105,"")</f>
        <v/>
      </c>
      <c r="D105" s="2" t="str">
        <f aca="false">IF(Calculations!A105,1,"")</f>
        <v/>
      </c>
      <c r="E105" s="2" t="str">
        <f aca="false">IF(Calculations!A105,Dates!I105,"")</f>
        <v/>
      </c>
      <c r="F105" s="1" t="str">
        <f aca="false">IF(Calculations!A105,Dates!J105,"")</f>
        <v/>
      </c>
      <c r="G105" s="11" t="str">
        <f aca="false">IF(Calculations!A105,Dates!K105,"")</f>
        <v/>
      </c>
      <c r="H105" s="2" t="str">
        <f aca="false">IF(Calculations!A105,Dates!H105,"")</f>
        <v/>
      </c>
      <c r="I105" s="12"/>
      <c r="J105" s="12"/>
      <c r="K105" s="2" t="n">
        <f aca="false">IF(ISNUMBER(I105),1,0)</f>
        <v>0</v>
      </c>
      <c r="L105" s="2"/>
      <c r="M105" s="2" t="str">
        <f aca="false">Calculations!I105</f>
        <v/>
      </c>
      <c r="N105" s="2" t="str">
        <f aca="false">IF(Calculations!A105,Settings!$B$5,"")</f>
        <v/>
      </c>
      <c r="O105" s="2" t="str">
        <f aca="false">Calculations!J105</f>
        <v/>
      </c>
      <c r="P105" s="2" t="str">
        <f aca="false">IF(Calculations!A105,Settings!$B$5,"")</f>
        <v/>
      </c>
      <c r="Q105" s="2" t="str">
        <f aca="false">Calculations!K105</f>
        <v/>
      </c>
      <c r="R105" s="2" t="str">
        <f aca="false">IF(Calculations!A105,Settings!$B$5,"")</f>
        <v/>
      </c>
      <c r="S105" s="2" t="str">
        <f aca="false">Calculations!L105</f>
        <v/>
      </c>
      <c r="T105" s="2" t="str">
        <f aca="false">IF(Calculations!A105,Settings!$B$5,"")</f>
        <v/>
      </c>
      <c r="U105" s="2" t="str">
        <f aca="false">Calculations!M105</f>
        <v/>
      </c>
      <c r="V105" s="2" t="str">
        <f aca="false">IF(Calculations!A105,Settings!$B$5,"")</f>
        <v/>
      </c>
      <c r="W105" s="2" t="str">
        <f aca="false">Calculations!N105</f>
        <v/>
      </c>
      <c r="X105" s="2" t="str">
        <f aca="false">Calculations!O105</f>
        <v/>
      </c>
      <c r="Y105" s="1" t="str">
        <f aca="false">IF(Calculations!P105="","",Calculations!P105)</f>
        <v/>
      </c>
    </row>
    <row r="106" customFormat="false" ht="13.8" hidden="false" customHeight="false" outlineLevel="0" collapsed="false">
      <c r="A106" s="23"/>
      <c r="B106" s="23"/>
      <c r="C106" s="2" t="str">
        <f aca="false">IF(Calculations!A106,Dates!D106,"")</f>
        <v/>
      </c>
      <c r="D106" s="2" t="str">
        <f aca="false">IF(Calculations!A106,1,"")</f>
        <v/>
      </c>
      <c r="E106" s="2" t="str">
        <f aca="false">IF(Calculations!A106,Dates!I106,"")</f>
        <v/>
      </c>
      <c r="F106" s="1" t="str">
        <f aca="false">IF(Calculations!A106,Dates!J106,"")</f>
        <v/>
      </c>
      <c r="G106" s="11" t="str">
        <f aca="false">IF(Calculations!A106,Dates!K106,"")</f>
        <v/>
      </c>
      <c r="H106" s="2" t="str">
        <f aca="false">IF(Calculations!A106,Dates!H106,"")</f>
        <v/>
      </c>
      <c r="I106" s="12"/>
      <c r="J106" s="12"/>
      <c r="K106" s="2" t="n">
        <f aca="false">IF(ISNUMBER(I106),1,0)</f>
        <v>0</v>
      </c>
      <c r="L106" s="2"/>
      <c r="M106" s="2" t="str">
        <f aca="false">Calculations!I106</f>
        <v/>
      </c>
      <c r="N106" s="2" t="str">
        <f aca="false">IF(Calculations!A106,Settings!$B$5,"")</f>
        <v/>
      </c>
      <c r="O106" s="2" t="str">
        <f aca="false">Calculations!J106</f>
        <v/>
      </c>
      <c r="P106" s="2" t="str">
        <f aca="false">IF(Calculations!A106,Settings!$B$5,"")</f>
        <v/>
      </c>
      <c r="Q106" s="2" t="str">
        <f aca="false">Calculations!K106</f>
        <v/>
      </c>
      <c r="R106" s="2" t="str">
        <f aca="false">IF(Calculations!A106,Settings!$B$5,"")</f>
        <v/>
      </c>
      <c r="S106" s="2" t="str">
        <f aca="false">Calculations!L106</f>
        <v/>
      </c>
      <c r="T106" s="2" t="str">
        <f aca="false">IF(Calculations!A106,Settings!$B$5,"")</f>
        <v/>
      </c>
      <c r="U106" s="2" t="str">
        <f aca="false">Calculations!M106</f>
        <v/>
      </c>
      <c r="V106" s="2" t="str">
        <f aca="false">IF(Calculations!A106,Settings!$B$5,"")</f>
        <v/>
      </c>
      <c r="W106" s="2" t="str">
        <f aca="false">Calculations!N106</f>
        <v/>
      </c>
      <c r="X106" s="2" t="str">
        <f aca="false">Calculations!O106</f>
        <v/>
      </c>
      <c r="Y106" s="1" t="str">
        <f aca="false">IF(Calculations!P106="","",Calculations!P106)</f>
        <v/>
      </c>
    </row>
    <row r="107" customFormat="false" ht="13.8" hidden="false" customHeight="false" outlineLevel="0" collapsed="false">
      <c r="A107" s="23"/>
      <c r="B107" s="23"/>
      <c r="C107" s="2" t="str">
        <f aca="false">IF(Calculations!A107,Dates!D107,"")</f>
        <v/>
      </c>
      <c r="D107" s="2" t="str">
        <f aca="false">IF(Calculations!A107,1,"")</f>
        <v/>
      </c>
      <c r="E107" s="2" t="str">
        <f aca="false">IF(Calculations!A107,Dates!I107,"")</f>
        <v/>
      </c>
      <c r="F107" s="1" t="str">
        <f aca="false">IF(Calculations!A107,Dates!J107,"")</f>
        <v/>
      </c>
      <c r="G107" s="11" t="str">
        <f aca="false">IF(Calculations!A107,Dates!K107,"")</f>
        <v/>
      </c>
      <c r="H107" s="2" t="str">
        <f aca="false">IF(Calculations!A107,Dates!H107,"")</f>
        <v/>
      </c>
      <c r="I107" s="12"/>
      <c r="J107" s="12"/>
      <c r="K107" s="2" t="n">
        <f aca="false">IF(ISNUMBER(I107),1,0)</f>
        <v>0</v>
      </c>
      <c r="L107" s="2"/>
      <c r="M107" s="2" t="str">
        <f aca="false">Calculations!I107</f>
        <v/>
      </c>
      <c r="N107" s="2" t="str">
        <f aca="false">IF(Calculations!A107,Settings!$B$5,"")</f>
        <v/>
      </c>
      <c r="O107" s="2" t="str">
        <f aca="false">Calculations!J107</f>
        <v/>
      </c>
      <c r="P107" s="2" t="str">
        <f aca="false">IF(Calculations!A107,Settings!$B$5,"")</f>
        <v/>
      </c>
      <c r="Q107" s="2" t="str">
        <f aca="false">Calculations!K107</f>
        <v/>
      </c>
      <c r="R107" s="2" t="str">
        <f aca="false">IF(Calculations!A107,Settings!$B$5,"")</f>
        <v/>
      </c>
      <c r="S107" s="2" t="str">
        <f aca="false">Calculations!L107</f>
        <v/>
      </c>
      <c r="T107" s="2" t="str">
        <f aca="false">IF(Calculations!A107,Settings!$B$5,"")</f>
        <v/>
      </c>
      <c r="U107" s="2" t="str">
        <f aca="false">Calculations!M107</f>
        <v/>
      </c>
      <c r="V107" s="2" t="str">
        <f aca="false">IF(Calculations!A107,Settings!$B$5,"")</f>
        <v/>
      </c>
      <c r="W107" s="2" t="str">
        <f aca="false">Calculations!N107</f>
        <v/>
      </c>
      <c r="X107" s="2" t="str">
        <f aca="false">Calculations!O107</f>
        <v/>
      </c>
      <c r="Y107" s="1" t="str">
        <f aca="false">IF(Calculations!P107="","",Calculations!P107)</f>
        <v/>
      </c>
    </row>
    <row r="108" customFormat="false" ht="13.8" hidden="false" customHeight="false" outlineLevel="0" collapsed="false">
      <c r="A108" s="23"/>
      <c r="B108" s="23"/>
      <c r="C108" s="2" t="str">
        <f aca="false">IF(Calculations!A108,Dates!D108,"")</f>
        <v/>
      </c>
      <c r="D108" s="2" t="str">
        <f aca="false">IF(Calculations!A108,1,"")</f>
        <v/>
      </c>
      <c r="E108" s="2" t="str">
        <f aca="false">IF(Calculations!A108,Dates!I108,"")</f>
        <v/>
      </c>
      <c r="F108" s="1" t="str">
        <f aca="false">IF(Calculations!A108,Dates!J108,"")</f>
        <v/>
      </c>
      <c r="G108" s="11" t="str">
        <f aca="false">IF(Calculations!A108,Dates!K108,"")</f>
        <v/>
      </c>
      <c r="H108" s="2" t="str">
        <f aca="false">IF(Calculations!A108,Dates!H108,"")</f>
        <v/>
      </c>
      <c r="I108" s="12"/>
      <c r="J108" s="12"/>
      <c r="K108" s="2" t="n">
        <f aca="false">IF(ISNUMBER(I108),1,0)</f>
        <v>0</v>
      </c>
      <c r="L108" s="2"/>
      <c r="M108" s="2" t="str">
        <f aca="false">Calculations!I108</f>
        <v/>
      </c>
      <c r="N108" s="2" t="str">
        <f aca="false">IF(Calculations!A108,Settings!$B$5,"")</f>
        <v/>
      </c>
      <c r="O108" s="2" t="str">
        <f aca="false">Calculations!J108</f>
        <v/>
      </c>
      <c r="P108" s="2" t="str">
        <f aca="false">IF(Calculations!A108,Settings!$B$5,"")</f>
        <v/>
      </c>
      <c r="Q108" s="2" t="str">
        <f aca="false">Calculations!K108</f>
        <v/>
      </c>
      <c r="R108" s="2" t="str">
        <f aca="false">IF(Calculations!A108,Settings!$B$5,"")</f>
        <v/>
      </c>
      <c r="S108" s="2" t="str">
        <f aca="false">Calculations!L108</f>
        <v/>
      </c>
      <c r="T108" s="2" t="str">
        <f aca="false">IF(Calculations!A108,Settings!$B$5,"")</f>
        <v/>
      </c>
      <c r="U108" s="2" t="str">
        <f aca="false">Calculations!M108</f>
        <v/>
      </c>
      <c r="V108" s="2" t="str">
        <f aca="false">IF(Calculations!A108,Settings!$B$5,"")</f>
        <v/>
      </c>
      <c r="W108" s="2" t="str">
        <f aca="false">Calculations!N108</f>
        <v/>
      </c>
      <c r="X108" s="2" t="str">
        <f aca="false">Calculations!O108</f>
        <v/>
      </c>
      <c r="Y108" s="1" t="str">
        <f aca="false">IF(Calculations!P108="","",Calculations!P108)</f>
        <v/>
      </c>
    </row>
    <row r="109" customFormat="false" ht="13.8" hidden="false" customHeight="false" outlineLevel="0" collapsed="false">
      <c r="A109" s="23"/>
      <c r="B109" s="23"/>
      <c r="C109" s="2" t="str">
        <f aca="false">IF(Calculations!A109,Dates!D109,"")</f>
        <v/>
      </c>
      <c r="D109" s="2" t="str">
        <f aca="false">IF(Calculations!A109,1,"")</f>
        <v/>
      </c>
      <c r="E109" s="2" t="str">
        <f aca="false">IF(Calculations!A109,Dates!I109,"")</f>
        <v/>
      </c>
      <c r="F109" s="1" t="str">
        <f aca="false">IF(Calculations!A109,Dates!J109,"")</f>
        <v/>
      </c>
      <c r="G109" s="11" t="str">
        <f aca="false">IF(Calculations!A109,Dates!K109,"")</f>
        <v/>
      </c>
      <c r="H109" s="2" t="str">
        <f aca="false">IF(Calculations!A109,Dates!H109,"")</f>
        <v/>
      </c>
      <c r="I109" s="12"/>
      <c r="J109" s="12"/>
      <c r="K109" s="2" t="n">
        <f aca="false">IF(ISNUMBER(I109),1,0)</f>
        <v>0</v>
      </c>
      <c r="L109" s="2"/>
      <c r="M109" s="2" t="str">
        <f aca="false">Calculations!I109</f>
        <v/>
      </c>
      <c r="N109" s="2" t="str">
        <f aca="false">IF(Calculations!A109,Settings!$B$5,"")</f>
        <v/>
      </c>
      <c r="O109" s="2" t="str">
        <f aca="false">Calculations!J109</f>
        <v/>
      </c>
      <c r="P109" s="2" t="str">
        <f aca="false">IF(Calculations!A109,Settings!$B$5,"")</f>
        <v/>
      </c>
      <c r="Q109" s="2" t="str">
        <f aca="false">Calculations!K109</f>
        <v/>
      </c>
      <c r="R109" s="2" t="str">
        <f aca="false">IF(Calculations!A109,Settings!$B$5,"")</f>
        <v/>
      </c>
      <c r="S109" s="2" t="str">
        <f aca="false">Calculations!L109</f>
        <v/>
      </c>
      <c r="T109" s="2" t="str">
        <f aca="false">IF(Calculations!A109,Settings!$B$5,"")</f>
        <v/>
      </c>
      <c r="U109" s="2" t="str">
        <f aca="false">Calculations!M109</f>
        <v/>
      </c>
      <c r="V109" s="2" t="str">
        <f aca="false">IF(Calculations!A109,Settings!$B$5,"")</f>
        <v/>
      </c>
      <c r="W109" s="2" t="str">
        <f aca="false">Calculations!N109</f>
        <v/>
      </c>
      <c r="X109" s="2" t="str">
        <f aca="false">Calculations!O109</f>
        <v/>
      </c>
      <c r="Y109" s="1" t="str">
        <f aca="false">IF(Calculations!P109="","",Calculations!P109)</f>
        <v/>
      </c>
    </row>
    <row r="110" customFormat="false" ht="13.8" hidden="false" customHeight="false" outlineLevel="0" collapsed="false">
      <c r="A110" s="23"/>
      <c r="B110" s="23"/>
      <c r="C110" s="2" t="str">
        <f aca="false">IF(Calculations!A110,Dates!D110,"")</f>
        <v/>
      </c>
      <c r="D110" s="2" t="str">
        <f aca="false">IF(Calculations!A110,1,"")</f>
        <v/>
      </c>
      <c r="E110" s="2" t="str">
        <f aca="false">IF(Calculations!A110,Dates!I110,"")</f>
        <v/>
      </c>
      <c r="F110" s="1" t="str">
        <f aca="false">IF(Calculations!A110,Dates!J110,"")</f>
        <v/>
      </c>
      <c r="G110" s="11" t="str">
        <f aca="false">IF(Calculations!A110,Dates!K110,"")</f>
        <v/>
      </c>
      <c r="H110" s="2" t="str">
        <f aca="false">IF(Calculations!A110,Dates!H110,"")</f>
        <v/>
      </c>
      <c r="I110" s="12"/>
      <c r="J110" s="12"/>
      <c r="K110" s="2" t="n">
        <f aca="false">IF(ISNUMBER(I110),1,0)</f>
        <v>0</v>
      </c>
      <c r="L110" s="2"/>
      <c r="M110" s="2" t="str">
        <f aca="false">Calculations!I110</f>
        <v/>
      </c>
      <c r="N110" s="2" t="str">
        <f aca="false">IF(Calculations!A110,Settings!$B$5,"")</f>
        <v/>
      </c>
      <c r="O110" s="2" t="str">
        <f aca="false">Calculations!J110</f>
        <v/>
      </c>
      <c r="P110" s="2" t="str">
        <f aca="false">IF(Calculations!A110,Settings!$B$5,"")</f>
        <v/>
      </c>
      <c r="Q110" s="2" t="str">
        <f aca="false">Calculations!K110</f>
        <v/>
      </c>
      <c r="R110" s="2" t="str">
        <f aca="false">IF(Calculations!A110,Settings!$B$5,"")</f>
        <v/>
      </c>
      <c r="S110" s="2" t="str">
        <f aca="false">Calculations!L110</f>
        <v/>
      </c>
      <c r="T110" s="2" t="str">
        <f aca="false">IF(Calculations!A110,Settings!$B$5,"")</f>
        <v/>
      </c>
      <c r="U110" s="2" t="str">
        <f aca="false">Calculations!M110</f>
        <v/>
      </c>
      <c r="V110" s="2" t="str">
        <f aca="false">IF(Calculations!A110,Settings!$B$5,"")</f>
        <v/>
      </c>
      <c r="W110" s="2" t="str">
        <f aca="false">Calculations!N110</f>
        <v/>
      </c>
      <c r="X110" s="2" t="str">
        <f aca="false">Calculations!O110</f>
        <v/>
      </c>
      <c r="Y110" s="1" t="str">
        <f aca="false">IF(Calculations!P110="","",Calculations!P110)</f>
        <v/>
      </c>
    </row>
    <row r="111" customFormat="false" ht="13.8" hidden="false" customHeight="false" outlineLevel="0" collapsed="false">
      <c r="A111" s="23"/>
      <c r="B111" s="23"/>
      <c r="C111" s="2" t="str">
        <f aca="false">IF(Calculations!A111,Dates!D111,"")</f>
        <v/>
      </c>
      <c r="D111" s="2" t="str">
        <f aca="false">IF(Calculations!A111,1,"")</f>
        <v/>
      </c>
      <c r="E111" s="2" t="str">
        <f aca="false">IF(Calculations!A111,Dates!I111,"")</f>
        <v/>
      </c>
      <c r="F111" s="1" t="str">
        <f aca="false">IF(Calculations!A111,Dates!J111,"")</f>
        <v/>
      </c>
      <c r="G111" s="25" t="str">
        <f aca="false">IF(Calculations!A111,Dates!K111,"")</f>
        <v/>
      </c>
      <c r="H111" s="1" t="str">
        <f aca="false">IF(Calculations!A111,Dates!H111,"")</f>
        <v/>
      </c>
      <c r="I111" s="27"/>
      <c r="J111" s="12"/>
      <c r="K111" s="2" t="n">
        <f aca="false">IF(ISNUMBER(I111),1,0)</f>
        <v>0</v>
      </c>
      <c r="M111" s="2" t="str">
        <f aca="false">Calculations!I111</f>
        <v/>
      </c>
      <c r="N111" s="2" t="str">
        <f aca="false">IF(Calculations!A111,Settings!$B$5,"")</f>
        <v/>
      </c>
      <c r="O111" s="2" t="str">
        <f aca="false">Calculations!J111</f>
        <v/>
      </c>
      <c r="P111" s="2" t="str">
        <f aca="false">IF(Calculations!A111,Settings!$B$5,"")</f>
        <v/>
      </c>
      <c r="Q111" s="2" t="str">
        <f aca="false">Calculations!K111</f>
        <v/>
      </c>
      <c r="R111" s="2" t="str">
        <f aca="false">IF(Calculations!A111,Settings!$B$5,"")</f>
        <v/>
      </c>
      <c r="S111" s="2" t="str">
        <f aca="false">Calculations!L111</f>
        <v/>
      </c>
      <c r="T111" s="2" t="str">
        <f aca="false">IF(Calculations!A111,Settings!$B$5,"")</f>
        <v/>
      </c>
      <c r="U111" s="2" t="str">
        <f aca="false">Calculations!M111</f>
        <v/>
      </c>
      <c r="V111" s="2" t="str">
        <f aca="false">IF(Calculations!A111,Settings!$B$5,"")</f>
        <v/>
      </c>
      <c r="W111" s="2" t="str">
        <f aca="false">Calculations!N111</f>
        <v/>
      </c>
      <c r="X111" s="1" t="str">
        <f aca="false">Calculations!O111</f>
        <v/>
      </c>
      <c r="Y111" s="1" t="str">
        <f aca="false">IF(Calculations!P111="","",Calculations!P111)</f>
        <v/>
      </c>
    </row>
    <row r="112" customFormat="false" ht="13.8" hidden="false" customHeight="false" outlineLevel="0" collapsed="false">
      <c r="A112" s="23"/>
      <c r="B112" s="23"/>
      <c r="C112" s="2" t="str">
        <f aca="false">IF(Calculations!A112,Dates!D112,"")</f>
        <v/>
      </c>
      <c r="D112" s="2" t="str">
        <f aca="false">IF(Calculations!A112,1,"")</f>
        <v/>
      </c>
      <c r="E112" s="2" t="str">
        <f aca="false">IF(Calculations!A112,Dates!I112,"")</f>
        <v/>
      </c>
      <c r="F112" s="1" t="str">
        <f aca="false">IF(Calculations!A112,Dates!J112,"")</f>
        <v/>
      </c>
      <c r="G112" s="25" t="str">
        <f aca="false">IF(Calculations!A112,Dates!K112,"")</f>
        <v/>
      </c>
      <c r="H112" s="2" t="str">
        <f aca="false">IF(Calculations!A112,Dates!H112,"")</f>
        <v/>
      </c>
      <c r="I112" s="27"/>
      <c r="J112" s="12"/>
      <c r="K112" s="2" t="n">
        <f aca="false">IF(ISNUMBER(I112),1,0)</f>
        <v>0</v>
      </c>
      <c r="M112" s="2" t="str">
        <f aca="false">Calculations!I112</f>
        <v/>
      </c>
      <c r="N112" s="2" t="str">
        <f aca="false">IF(Calculations!A112,Settings!$B$5,"")</f>
        <v/>
      </c>
      <c r="O112" s="2" t="str">
        <f aca="false">Calculations!J112</f>
        <v/>
      </c>
      <c r="P112" s="2" t="str">
        <f aca="false">IF(Calculations!A112,Settings!$B$5,"")</f>
        <v/>
      </c>
      <c r="Q112" s="2" t="str">
        <f aca="false">Calculations!K112</f>
        <v/>
      </c>
      <c r="R112" s="2" t="str">
        <f aca="false">IF(Calculations!A112,Settings!$B$5,"")</f>
        <v/>
      </c>
      <c r="S112" s="2" t="str">
        <f aca="false">Calculations!L112</f>
        <v/>
      </c>
      <c r="T112" s="2" t="str">
        <f aca="false">IF(Calculations!A112,Settings!$B$5,"")</f>
        <v/>
      </c>
      <c r="U112" s="2" t="str">
        <f aca="false">Calculations!M112</f>
        <v/>
      </c>
      <c r="V112" s="2" t="str">
        <f aca="false">IF(Calculations!A112,Settings!$B$5,"")</f>
        <v/>
      </c>
      <c r="W112" s="2" t="str">
        <f aca="false">Calculations!N112</f>
        <v/>
      </c>
      <c r="X112" s="1" t="str">
        <f aca="false">Calculations!O112</f>
        <v/>
      </c>
      <c r="Y112" s="1" t="str">
        <f aca="false">IF(Calculations!P112="","",Calculations!P112)</f>
        <v/>
      </c>
    </row>
    <row r="113" customFormat="false" ht="13.8" hidden="false" customHeight="false" outlineLevel="0" collapsed="false">
      <c r="A113" s="23"/>
      <c r="B113" s="23"/>
      <c r="C113" s="2" t="str">
        <f aca="false">IF(Calculations!A113,Dates!D113,"")</f>
        <v/>
      </c>
      <c r="D113" s="2" t="str">
        <f aca="false">IF(Calculations!A113,1,"")</f>
        <v/>
      </c>
      <c r="E113" s="2" t="str">
        <f aca="false">IF(Calculations!A113,Dates!I113,"")</f>
        <v/>
      </c>
      <c r="F113" s="1" t="str">
        <f aca="false">IF(Calculations!A113,Dates!J113,"")</f>
        <v/>
      </c>
      <c r="G113" s="25" t="str">
        <f aca="false">IF(Calculations!A113,Dates!K113,"")</f>
        <v/>
      </c>
      <c r="H113" s="1" t="str">
        <f aca="false">IF(Calculations!A113,Dates!H113,"")</f>
        <v/>
      </c>
      <c r="I113" s="27"/>
      <c r="J113" s="12"/>
      <c r="K113" s="2" t="n">
        <f aca="false">IF(ISNUMBER(I113),1,0)</f>
        <v>0</v>
      </c>
      <c r="L113" s="2"/>
      <c r="M113" s="2" t="str">
        <f aca="false">Calculations!I113</f>
        <v/>
      </c>
      <c r="N113" s="2" t="str">
        <f aca="false">IF(Calculations!A113,Settings!$B$5,"")</f>
        <v/>
      </c>
      <c r="O113" s="2" t="str">
        <f aca="false">Calculations!J113</f>
        <v/>
      </c>
      <c r="P113" s="2" t="str">
        <f aca="false">IF(Calculations!A113,Settings!$B$5,"")</f>
        <v/>
      </c>
      <c r="Q113" s="2" t="str">
        <f aca="false">Calculations!K113</f>
        <v/>
      </c>
      <c r="R113" s="2" t="str">
        <f aca="false">IF(Calculations!A113,Settings!$B$5,"")</f>
        <v/>
      </c>
      <c r="S113" s="2" t="str">
        <f aca="false">Calculations!L113</f>
        <v/>
      </c>
      <c r="T113" s="2" t="str">
        <f aca="false">IF(Calculations!A113,Settings!$B$5,"")</f>
        <v/>
      </c>
      <c r="U113" s="2" t="str">
        <f aca="false">Calculations!M113</f>
        <v/>
      </c>
      <c r="V113" s="2" t="str">
        <f aca="false">IF(Calculations!A113,Settings!$B$5,"")</f>
        <v/>
      </c>
      <c r="W113" s="2" t="str">
        <f aca="false">Calculations!N113</f>
        <v/>
      </c>
      <c r="X113" s="2" t="str">
        <f aca="false">Calculations!O113</f>
        <v/>
      </c>
      <c r="Y113" s="1" t="str">
        <f aca="false">IF(Calculations!P113="","",Calculations!P113)</f>
        <v/>
      </c>
    </row>
    <row r="114" customFormat="false" ht="13.8" hidden="false" customHeight="false" outlineLevel="0" collapsed="false">
      <c r="A114" s="23"/>
      <c r="B114" s="23"/>
      <c r="C114" s="2" t="str">
        <f aca="false">IF(Calculations!A114,Dates!D114,"")</f>
        <v/>
      </c>
      <c r="D114" s="2" t="str">
        <f aca="false">IF(Calculations!A114,1,"")</f>
        <v/>
      </c>
      <c r="E114" s="2" t="str">
        <f aca="false">IF(Calculations!A114,Dates!I114,"")</f>
        <v/>
      </c>
      <c r="F114" s="1" t="str">
        <f aca="false">IF(Calculations!A114,Dates!J114,"")</f>
        <v/>
      </c>
      <c r="G114" s="25" t="str">
        <f aca="false">IF(Calculations!A114,Dates!K114,"")</f>
        <v/>
      </c>
      <c r="H114" s="1" t="str">
        <f aca="false">IF(Calculations!A114,Dates!H114,"")</f>
        <v/>
      </c>
      <c r="I114" s="27"/>
      <c r="J114" s="12"/>
      <c r="K114" s="2" t="n">
        <f aca="false">IF(ISNUMBER(I114),1,0)</f>
        <v>0</v>
      </c>
      <c r="M114" s="2" t="str">
        <f aca="false">Calculations!I114</f>
        <v/>
      </c>
      <c r="N114" s="2" t="str">
        <f aca="false">IF(Calculations!A114,Settings!$B$5,"")</f>
        <v/>
      </c>
      <c r="O114" s="2" t="str">
        <f aca="false">Calculations!J114</f>
        <v/>
      </c>
      <c r="P114" s="2" t="str">
        <f aca="false">IF(Calculations!A114,Settings!$B$5,"")</f>
        <v/>
      </c>
      <c r="Q114" s="2" t="str">
        <f aca="false">Calculations!K114</f>
        <v/>
      </c>
      <c r="R114" s="2" t="str">
        <f aca="false">IF(Calculations!A114,Settings!$B$5,"")</f>
        <v/>
      </c>
      <c r="S114" s="2" t="str">
        <f aca="false">Calculations!L114</f>
        <v/>
      </c>
      <c r="T114" s="2" t="str">
        <f aca="false">IF(Calculations!A114,Settings!$B$5,"")</f>
        <v/>
      </c>
      <c r="U114" s="2" t="str">
        <f aca="false">Calculations!M114</f>
        <v/>
      </c>
      <c r="V114" s="2" t="str">
        <f aca="false">IF(Calculations!A114,Settings!$B$5,"")</f>
        <v/>
      </c>
      <c r="W114" s="2" t="str">
        <f aca="false">Calculations!N114</f>
        <v/>
      </c>
      <c r="X114" s="1" t="str">
        <f aca="false">Calculations!O114</f>
        <v/>
      </c>
      <c r="Y114" s="1" t="str">
        <f aca="false">IF(Calculations!P114="","",Calculations!P114)</f>
        <v/>
      </c>
    </row>
    <row r="115" customFormat="false" ht="13.8" hidden="false" customHeight="false" outlineLevel="0" collapsed="false">
      <c r="A115" s="23"/>
      <c r="B115" s="23"/>
      <c r="C115" s="2" t="str">
        <f aca="false">IF(Calculations!A115,Dates!D115,"")</f>
        <v/>
      </c>
      <c r="D115" s="2" t="str">
        <f aca="false">IF(Calculations!A115,1,"")</f>
        <v/>
      </c>
      <c r="E115" s="2" t="str">
        <f aca="false">IF(Calculations!A115,Dates!I115,"")</f>
        <v/>
      </c>
      <c r="F115" s="1" t="str">
        <f aca="false">IF(Calculations!A115,Dates!J115,"")</f>
        <v/>
      </c>
      <c r="G115" s="25" t="str">
        <f aca="false">IF(Calculations!A115,Dates!K115,"")</f>
        <v/>
      </c>
      <c r="H115" s="1" t="str">
        <f aca="false">IF(Calculations!A115,Dates!H115,"")</f>
        <v/>
      </c>
      <c r="I115" s="27"/>
      <c r="J115" s="12"/>
      <c r="K115" s="2" t="n">
        <f aca="false">IF(ISNUMBER(I115),1,0)</f>
        <v>0</v>
      </c>
      <c r="M115" s="2" t="str">
        <f aca="false">Calculations!I115</f>
        <v/>
      </c>
      <c r="N115" s="2" t="str">
        <f aca="false">IF(Calculations!A115,Settings!$B$5,"")</f>
        <v/>
      </c>
      <c r="O115" s="2" t="str">
        <f aca="false">Calculations!J115</f>
        <v/>
      </c>
      <c r="P115" s="2" t="str">
        <f aca="false">IF(Calculations!A115,Settings!$B$5,"")</f>
        <v/>
      </c>
      <c r="Q115" s="2" t="str">
        <f aca="false">Calculations!K115</f>
        <v/>
      </c>
      <c r="R115" s="2" t="str">
        <f aca="false">IF(Calculations!A115,Settings!$B$5,"")</f>
        <v/>
      </c>
      <c r="S115" s="2" t="str">
        <f aca="false">Calculations!L115</f>
        <v/>
      </c>
      <c r="T115" s="2" t="str">
        <f aca="false">IF(Calculations!A115,Settings!$B$5,"")</f>
        <v/>
      </c>
      <c r="U115" s="2" t="str">
        <f aca="false">Calculations!M115</f>
        <v/>
      </c>
      <c r="V115" s="2" t="str">
        <f aca="false">IF(Calculations!A115,Settings!$B$5,"")</f>
        <v/>
      </c>
      <c r="W115" s="2" t="str">
        <f aca="false">Calculations!N115</f>
        <v/>
      </c>
      <c r="X115" s="1" t="str">
        <f aca="false">Calculations!O115</f>
        <v/>
      </c>
      <c r="Y115" s="1" t="str">
        <f aca="false">IF(Calculations!P115="","",Calculations!P115)</f>
        <v/>
      </c>
    </row>
    <row r="116" customFormat="false" ht="13.8" hidden="false" customHeight="false" outlineLevel="0" collapsed="false">
      <c r="A116" s="23"/>
      <c r="B116" s="23"/>
      <c r="C116" s="2" t="str">
        <f aca="false">IF(Calculations!A116,Dates!D116,"")</f>
        <v/>
      </c>
      <c r="D116" s="2" t="str">
        <f aca="false">IF(Calculations!A116,1,"")</f>
        <v/>
      </c>
      <c r="E116" s="2" t="str">
        <f aca="false">IF(Calculations!A116,Dates!I116,"")</f>
        <v/>
      </c>
      <c r="F116" s="1" t="str">
        <f aca="false">IF(Calculations!A116,Dates!J116,"")</f>
        <v/>
      </c>
      <c r="G116" s="25" t="str">
        <f aca="false">IF(Calculations!A116,Dates!K116,"")</f>
        <v/>
      </c>
      <c r="H116" s="1" t="str">
        <f aca="false">IF(Calculations!A116,Dates!H116,"")</f>
        <v/>
      </c>
      <c r="I116" s="12"/>
      <c r="J116" s="12"/>
      <c r="K116" s="2" t="n">
        <f aca="false">IF(ISNUMBER(I116),1,0)</f>
        <v>0</v>
      </c>
      <c r="M116" s="2" t="str">
        <f aca="false">Calculations!I116</f>
        <v/>
      </c>
      <c r="N116" s="2" t="str">
        <f aca="false">IF(Calculations!A116,Settings!$B$5,"")</f>
        <v/>
      </c>
      <c r="O116" s="2" t="str">
        <f aca="false">Calculations!J116</f>
        <v/>
      </c>
      <c r="P116" s="2" t="str">
        <f aca="false">IF(Calculations!A116,Settings!$B$5,"")</f>
        <v/>
      </c>
      <c r="Q116" s="2" t="str">
        <f aca="false">Calculations!K116</f>
        <v/>
      </c>
      <c r="R116" s="2" t="str">
        <f aca="false">IF(Calculations!A116,Settings!$B$5,"")</f>
        <v/>
      </c>
      <c r="S116" s="2" t="str">
        <f aca="false">Calculations!L116</f>
        <v/>
      </c>
      <c r="T116" s="2" t="str">
        <f aca="false">IF(Calculations!A116,Settings!$B$5,"")</f>
        <v/>
      </c>
      <c r="U116" s="2" t="str">
        <f aca="false">Calculations!M116</f>
        <v/>
      </c>
      <c r="V116" s="2" t="str">
        <f aca="false">IF(Calculations!A116,Settings!$B$5,"")</f>
        <v/>
      </c>
      <c r="W116" s="2" t="str">
        <f aca="false">Calculations!N116</f>
        <v/>
      </c>
      <c r="X116" s="1" t="str">
        <f aca="false">Calculations!O116</f>
        <v/>
      </c>
      <c r="Y116" s="1" t="str">
        <f aca="false">IF(Calculations!P116="","",Calculations!P116)</f>
        <v/>
      </c>
    </row>
    <row r="117" customFormat="false" ht="13.8" hidden="false" customHeight="false" outlineLevel="0" collapsed="false">
      <c r="A117" s="23"/>
      <c r="B117" s="23"/>
      <c r="C117" s="2" t="str">
        <f aca="false">IF(Calculations!A117,Dates!D117,"")</f>
        <v/>
      </c>
      <c r="D117" s="2" t="str">
        <f aca="false">IF(Calculations!A117,1,"")</f>
        <v/>
      </c>
      <c r="E117" s="2" t="str">
        <f aca="false">IF(Calculations!A117,Dates!I117,"")</f>
        <v/>
      </c>
      <c r="F117" s="1" t="str">
        <f aca="false">IF(Calculations!A117,Dates!J117,"")</f>
        <v/>
      </c>
      <c r="G117" s="25" t="str">
        <f aca="false">IF(Calculations!A117,Dates!K117,"")</f>
        <v/>
      </c>
      <c r="H117" s="1" t="str">
        <f aca="false">IF(Calculations!A117,Dates!H117,"")</f>
        <v/>
      </c>
      <c r="I117" s="27"/>
      <c r="J117" s="12"/>
      <c r="K117" s="2" t="n">
        <f aca="false">IF(ISNUMBER(I117),1,0)</f>
        <v>0</v>
      </c>
      <c r="M117" s="2" t="str">
        <f aca="false">Calculations!I117</f>
        <v/>
      </c>
      <c r="N117" s="2" t="str">
        <f aca="false">IF(Calculations!A117,Settings!$B$5,"")</f>
        <v/>
      </c>
      <c r="O117" s="2" t="str">
        <f aca="false">Calculations!J117</f>
        <v/>
      </c>
      <c r="P117" s="2" t="str">
        <f aca="false">IF(Calculations!A117,Settings!$B$5,"")</f>
        <v/>
      </c>
      <c r="Q117" s="2" t="str">
        <f aca="false">Calculations!K117</f>
        <v/>
      </c>
      <c r="R117" s="2" t="str">
        <f aca="false">IF(Calculations!A117,Settings!$B$5,"")</f>
        <v/>
      </c>
      <c r="S117" s="2" t="str">
        <f aca="false">Calculations!L117</f>
        <v/>
      </c>
      <c r="T117" s="2" t="str">
        <f aca="false">IF(Calculations!A117,Settings!$B$5,"")</f>
        <v/>
      </c>
      <c r="U117" s="2" t="str">
        <f aca="false">Calculations!M117</f>
        <v/>
      </c>
      <c r="V117" s="2" t="str">
        <f aca="false">IF(Calculations!A117,Settings!$B$5,"")</f>
        <v/>
      </c>
      <c r="W117" s="2" t="str">
        <f aca="false">Calculations!N117</f>
        <v/>
      </c>
      <c r="X117" s="1" t="str">
        <f aca="false">Calculations!O117</f>
        <v/>
      </c>
      <c r="Y117" s="1" t="str">
        <f aca="false">IF(Calculations!P117="","",Calculations!P117)</f>
        <v/>
      </c>
    </row>
    <row r="118" customFormat="false" ht="13.8" hidden="false" customHeight="false" outlineLevel="0" collapsed="false">
      <c r="A118" s="23"/>
      <c r="B118" s="23"/>
      <c r="C118" s="2" t="str">
        <f aca="false">IF(Calculations!A118,Dates!D118,"")</f>
        <v/>
      </c>
      <c r="D118" s="2" t="str">
        <f aca="false">IF(Calculations!A118,1,"")</f>
        <v/>
      </c>
      <c r="E118" s="2" t="str">
        <f aca="false">IF(Calculations!A118,Dates!I118,"")</f>
        <v/>
      </c>
      <c r="F118" s="2" t="str">
        <f aca="false">IF(Calculations!A118,Dates!J118,"")</f>
        <v/>
      </c>
      <c r="G118" s="11" t="str">
        <f aca="false">IF(Calculations!A118,Dates!K118,"")</f>
        <v/>
      </c>
      <c r="H118" s="2" t="str">
        <f aca="false">IF(Calculations!A118,Dates!H118,"")</f>
        <v/>
      </c>
      <c r="I118" s="12"/>
      <c r="J118" s="12"/>
      <c r="K118" s="2" t="n">
        <f aca="false">IF(ISNUMBER(I118),1,0)</f>
        <v>0</v>
      </c>
      <c r="L118" s="2"/>
      <c r="M118" s="28" t="str">
        <f aca="false">Calculations!I118</f>
        <v/>
      </c>
      <c r="N118" s="2" t="str">
        <f aca="false">IF(Calculations!A118,Settings!$B$5,"")</f>
        <v/>
      </c>
      <c r="O118" s="2" t="str">
        <f aca="false">Calculations!J118</f>
        <v/>
      </c>
      <c r="P118" s="2" t="str">
        <f aca="false">IF(Calculations!A118,Settings!$B$5,"")</f>
        <v/>
      </c>
      <c r="Q118" s="2" t="str">
        <f aca="false">Calculations!K118</f>
        <v/>
      </c>
      <c r="R118" s="2" t="str">
        <f aca="false">IF(Calculations!A118,Settings!$B$5,"")</f>
        <v/>
      </c>
      <c r="S118" s="2" t="str">
        <f aca="false">Calculations!L118</f>
        <v/>
      </c>
      <c r="T118" s="2" t="str">
        <f aca="false">IF(Calculations!A118,Settings!$B$5,"")</f>
        <v/>
      </c>
      <c r="U118" s="2" t="str">
        <f aca="false">Calculations!M118</f>
        <v/>
      </c>
      <c r="V118" s="2" t="str">
        <f aca="false">IF(Calculations!A118,Settings!$B$5,"")</f>
        <v/>
      </c>
      <c r="W118" s="2" t="str">
        <f aca="false">Calculations!N118</f>
        <v/>
      </c>
      <c r="X118" s="1" t="str">
        <f aca="false">Calculations!O118</f>
        <v/>
      </c>
      <c r="Y118" s="1" t="str">
        <f aca="false">IF(Calculations!P118="","",Calculations!P118)</f>
        <v/>
      </c>
    </row>
    <row r="119" customFormat="false" ht="13.8" hidden="false" customHeight="false" outlineLevel="0" collapsed="false">
      <c r="A119" s="23"/>
      <c r="B119" s="23"/>
      <c r="C119" s="2" t="str">
        <f aca="false">IF(Calculations!A119,Dates!D119,"")</f>
        <v/>
      </c>
      <c r="D119" s="2" t="str">
        <f aca="false">IF(Calculations!A119,1,"")</f>
        <v/>
      </c>
      <c r="E119" s="2" t="str">
        <f aca="false">IF(Calculations!A119,Dates!I119,"")</f>
        <v/>
      </c>
      <c r="F119" s="2" t="str">
        <f aca="false">IF(Calculations!A119,Dates!J119,"")</f>
        <v/>
      </c>
      <c r="G119" s="11" t="str">
        <f aca="false">IF(Calculations!A119,Dates!K119,"")</f>
        <v/>
      </c>
      <c r="H119" s="2" t="str">
        <f aca="false">IF(Calculations!A119,Dates!H119,"")</f>
        <v/>
      </c>
      <c r="I119" s="12"/>
      <c r="J119" s="12"/>
      <c r="K119" s="2" t="n">
        <f aca="false">IF(ISNUMBER(I119),1,0)</f>
        <v>0</v>
      </c>
      <c r="L119" s="2"/>
      <c r="M119" s="28" t="str">
        <f aca="false">Calculations!I119</f>
        <v/>
      </c>
      <c r="N119" s="2" t="str">
        <f aca="false">IF(Calculations!A119,Settings!$B$5,"")</f>
        <v/>
      </c>
      <c r="O119" s="2" t="str">
        <f aca="false">Calculations!J119</f>
        <v/>
      </c>
      <c r="P119" s="2" t="str">
        <f aca="false">IF(Calculations!A119,Settings!$B$5,"")</f>
        <v/>
      </c>
      <c r="Q119" s="2" t="str">
        <f aca="false">Calculations!K119</f>
        <v/>
      </c>
      <c r="R119" s="2" t="str">
        <f aca="false">IF(Calculations!A119,Settings!$B$5,"")</f>
        <v/>
      </c>
      <c r="S119" s="2" t="str">
        <f aca="false">Calculations!L119</f>
        <v/>
      </c>
      <c r="T119" s="2" t="str">
        <f aca="false">IF(Calculations!A119,Settings!$B$5,"")</f>
        <v/>
      </c>
      <c r="U119" s="2" t="str">
        <f aca="false">Calculations!M119</f>
        <v/>
      </c>
      <c r="V119" s="2" t="str">
        <f aca="false">IF(Calculations!A119,Settings!$B$5,"")</f>
        <v/>
      </c>
      <c r="W119" s="2" t="str">
        <f aca="false">Calculations!N119</f>
        <v/>
      </c>
      <c r="X119" s="1" t="str">
        <f aca="false">Calculations!O119</f>
        <v/>
      </c>
      <c r="Y119" s="1" t="str">
        <f aca="false">IF(Calculations!P119="","",Calculations!P119)</f>
        <v/>
      </c>
    </row>
    <row r="120" customFormat="false" ht="13.8" hidden="false" customHeight="false" outlineLevel="0" collapsed="false">
      <c r="A120" s="23"/>
      <c r="B120" s="23"/>
      <c r="C120" s="2" t="str">
        <f aca="false">IF(Calculations!A120,Dates!D120,"")</f>
        <v/>
      </c>
      <c r="D120" s="2" t="str">
        <f aca="false">IF(Calculations!A120,1,"")</f>
        <v/>
      </c>
      <c r="E120" s="2" t="str">
        <f aca="false">IF(Calculations!A120,Dates!I120,"")</f>
        <v/>
      </c>
      <c r="F120" s="2" t="str">
        <f aca="false">IF(Calculations!A120,Dates!J120,"")</f>
        <v/>
      </c>
      <c r="G120" s="11" t="str">
        <f aca="false">IF(Calculations!A120,Dates!K120,"")</f>
        <v/>
      </c>
      <c r="H120" s="2" t="str">
        <f aca="false">IF(Calculations!A120,Dates!H120,"")</f>
        <v/>
      </c>
      <c r="I120" s="12"/>
      <c r="J120" s="12"/>
      <c r="K120" s="2" t="n">
        <f aca="false">IF(ISNUMBER(I120),1,0)</f>
        <v>0</v>
      </c>
      <c r="L120" s="2"/>
      <c r="M120" s="28" t="str">
        <f aca="false">Calculations!I120</f>
        <v/>
      </c>
      <c r="N120" s="2" t="str">
        <f aca="false">IF(Calculations!A120,Settings!$B$5,"")</f>
        <v/>
      </c>
      <c r="O120" s="2" t="str">
        <f aca="false">Calculations!J120</f>
        <v/>
      </c>
      <c r="P120" s="2" t="str">
        <f aca="false">IF(Calculations!A120,Settings!$B$5,"")</f>
        <v/>
      </c>
      <c r="Q120" s="2" t="str">
        <f aca="false">Calculations!K120</f>
        <v/>
      </c>
      <c r="R120" s="2" t="str">
        <f aca="false">IF(Calculations!A120,Settings!$B$5,"")</f>
        <v/>
      </c>
      <c r="S120" s="2" t="str">
        <f aca="false">Calculations!L120</f>
        <v/>
      </c>
      <c r="T120" s="2" t="str">
        <f aca="false">IF(Calculations!A120,Settings!$B$5,"")</f>
        <v/>
      </c>
      <c r="U120" s="2" t="str">
        <f aca="false">Calculations!M120</f>
        <v/>
      </c>
      <c r="V120" s="2" t="str">
        <f aca="false">IF(Calculations!A120,Settings!$B$5,"")</f>
        <v/>
      </c>
      <c r="W120" s="2" t="str">
        <f aca="false">Calculations!N120</f>
        <v/>
      </c>
      <c r="X120" s="1" t="str">
        <f aca="false">Calculations!O120</f>
        <v/>
      </c>
      <c r="Y120" s="1" t="str">
        <f aca="false">IF(Calculations!P120="","",Calculations!P120)</f>
        <v/>
      </c>
    </row>
    <row r="121" customFormat="false" ht="13.8" hidden="false" customHeight="false" outlineLevel="0" collapsed="false">
      <c r="A121" s="23"/>
      <c r="B121" s="23"/>
      <c r="C121" s="2" t="str">
        <f aca="false">IF(Calculations!A121,Dates!D121,"")</f>
        <v/>
      </c>
      <c r="D121" s="2" t="str">
        <f aca="false">IF(Calculations!A121,1,"")</f>
        <v/>
      </c>
      <c r="E121" s="2" t="str">
        <f aca="false">IF(Calculations!A121,Dates!I121,"")</f>
        <v/>
      </c>
      <c r="F121" s="2" t="str">
        <f aca="false">IF(Calculations!A121,Dates!J121,"")</f>
        <v/>
      </c>
      <c r="G121" s="11" t="str">
        <f aca="false">IF(Calculations!A121,Dates!K121,"")</f>
        <v/>
      </c>
      <c r="H121" s="2" t="str">
        <f aca="false">IF(Calculations!A121,Dates!H121,"")</f>
        <v/>
      </c>
      <c r="I121" s="12"/>
      <c r="J121" s="12"/>
      <c r="K121" s="2" t="n">
        <f aca="false">IF(ISNUMBER(I121),1,0)</f>
        <v>0</v>
      </c>
      <c r="L121" s="2"/>
      <c r="M121" s="28" t="str">
        <f aca="false">Calculations!I121</f>
        <v/>
      </c>
      <c r="N121" s="2" t="str">
        <f aca="false">IF(Calculations!A121,Settings!$B$5,"")</f>
        <v/>
      </c>
      <c r="O121" s="2" t="str">
        <f aca="false">Calculations!J121</f>
        <v/>
      </c>
      <c r="P121" s="2" t="str">
        <f aca="false">IF(Calculations!A121,Settings!$B$5,"")</f>
        <v/>
      </c>
      <c r="Q121" s="2" t="str">
        <f aca="false">Calculations!K121</f>
        <v/>
      </c>
      <c r="R121" s="2" t="str">
        <f aca="false">IF(Calculations!A121,Settings!$B$5,"")</f>
        <v/>
      </c>
      <c r="S121" s="2" t="str">
        <f aca="false">Calculations!L121</f>
        <v/>
      </c>
      <c r="T121" s="2" t="str">
        <f aca="false">IF(Calculations!A121,Settings!$B$5,"")</f>
        <v/>
      </c>
      <c r="U121" s="2" t="str">
        <f aca="false">Calculations!M121</f>
        <v/>
      </c>
      <c r="V121" s="2" t="str">
        <f aca="false">IF(Calculations!A121,Settings!$B$5,"")</f>
        <v/>
      </c>
      <c r="W121" s="2" t="str">
        <f aca="false">Calculations!N121</f>
        <v/>
      </c>
      <c r="X121" s="1" t="str">
        <f aca="false">Calculations!O121</f>
        <v/>
      </c>
      <c r="Y121" s="1" t="str">
        <f aca="false">IF(Calculations!P121="","",Calculations!P121)</f>
        <v/>
      </c>
    </row>
    <row r="122" customFormat="false" ht="13.8" hidden="false" customHeight="false" outlineLevel="0" collapsed="false">
      <c r="A122" s="23"/>
      <c r="B122" s="23"/>
      <c r="C122" s="2" t="str">
        <f aca="false">IF(Calculations!A122,Dates!D122,"")</f>
        <v/>
      </c>
      <c r="D122" s="2" t="str">
        <f aca="false">IF(Calculations!A122,1,"")</f>
        <v/>
      </c>
      <c r="E122" s="2" t="str">
        <f aca="false">IF(Calculations!A122,Dates!I122,"")</f>
        <v/>
      </c>
      <c r="F122" s="2" t="str">
        <f aca="false">IF(Calculations!A122,Dates!J122,"")</f>
        <v/>
      </c>
      <c r="G122" s="11" t="str">
        <f aca="false">IF(Calculations!A122,Dates!K122,"")</f>
        <v/>
      </c>
      <c r="H122" s="2" t="str">
        <f aca="false">IF(Calculations!A122,Dates!H122,"")</f>
        <v/>
      </c>
      <c r="I122" s="12"/>
      <c r="J122" s="12"/>
      <c r="K122" s="2" t="n">
        <f aca="false">IF(ISNUMBER(I122),1,0)</f>
        <v>0</v>
      </c>
      <c r="L122" s="2"/>
      <c r="M122" s="28" t="str">
        <f aca="false">Calculations!I122</f>
        <v/>
      </c>
      <c r="N122" s="2" t="str">
        <f aca="false">IF(Calculations!A122,Settings!$B$5,"")</f>
        <v/>
      </c>
      <c r="O122" s="2" t="str">
        <f aca="false">Calculations!J122</f>
        <v/>
      </c>
      <c r="P122" s="2" t="str">
        <f aca="false">IF(Calculations!A122,Settings!$B$5,"")</f>
        <v/>
      </c>
      <c r="Q122" s="2" t="str">
        <f aca="false">Calculations!K122</f>
        <v/>
      </c>
      <c r="R122" s="2" t="str">
        <f aca="false">IF(Calculations!A122,Settings!$B$5,"")</f>
        <v/>
      </c>
      <c r="S122" s="2" t="str">
        <f aca="false">Calculations!L122</f>
        <v/>
      </c>
      <c r="T122" s="2" t="str">
        <f aca="false">IF(Calculations!A122,Settings!$B$5,"")</f>
        <v/>
      </c>
      <c r="U122" s="2" t="str">
        <f aca="false">Calculations!M122</f>
        <v/>
      </c>
      <c r="V122" s="2" t="str">
        <f aca="false">IF(Calculations!A122,Settings!$B$5,"")</f>
        <v/>
      </c>
      <c r="W122" s="2" t="str">
        <f aca="false">Calculations!N122</f>
        <v/>
      </c>
      <c r="X122" s="1" t="str">
        <f aca="false">Calculations!O122</f>
        <v/>
      </c>
      <c r="Y122" s="1" t="str">
        <f aca="false">IF(Calculations!P122="","",Calculations!P122)</f>
        <v/>
      </c>
    </row>
    <row r="123" customFormat="false" ht="13.8" hidden="false" customHeight="false" outlineLevel="0" collapsed="false">
      <c r="A123" s="23"/>
      <c r="B123" s="23"/>
      <c r="C123" s="2" t="str">
        <f aca="false">IF(Calculations!A123,Dates!D123,"")</f>
        <v/>
      </c>
      <c r="D123" s="2" t="str">
        <f aca="false">IF(Calculations!A123,1,"")</f>
        <v/>
      </c>
      <c r="E123" s="2" t="str">
        <f aca="false">IF(Calculations!A123,Dates!I123,"")</f>
        <v/>
      </c>
      <c r="F123" s="2" t="str">
        <f aca="false">IF(Calculations!A123,Dates!J123,"")</f>
        <v/>
      </c>
      <c r="G123" s="11" t="str">
        <f aca="false">IF(Calculations!A123,Dates!K123,"")</f>
        <v/>
      </c>
      <c r="H123" s="2" t="str">
        <f aca="false">IF(Calculations!A123,Dates!H123,"")</f>
        <v/>
      </c>
      <c r="I123" s="12"/>
      <c r="J123" s="12"/>
      <c r="K123" s="2" t="n">
        <f aca="false">IF(ISNUMBER(I123),1,0)</f>
        <v>0</v>
      </c>
      <c r="L123" s="2"/>
      <c r="M123" s="28" t="str">
        <f aca="false">Calculations!I123</f>
        <v/>
      </c>
      <c r="N123" s="2" t="str">
        <f aca="false">IF(Calculations!A123,Settings!$B$5,"")</f>
        <v/>
      </c>
      <c r="O123" s="2" t="str">
        <f aca="false">Calculations!J123</f>
        <v/>
      </c>
      <c r="P123" s="2" t="str">
        <f aca="false">IF(Calculations!A123,Settings!$B$5,"")</f>
        <v/>
      </c>
      <c r="Q123" s="2" t="str">
        <f aca="false">Calculations!K123</f>
        <v/>
      </c>
      <c r="R123" s="2" t="str">
        <f aca="false">IF(Calculations!A123,Settings!$B$5,"")</f>
        <v/>
      </c>
      <c r="S123" s="2" t="str">
        <f aca="false">Calculations!L123</f>
        <v/>
      </c>
      <c r="T123" s="2" t="str">
        <f aca="false">IF(Calculations!A123,Settings!$B$5,"")</f>
        <v/>
      </c>
      <c r="U123" s="2" t="str">
        <f aca="false">Calculations!M123</f>
        <v/>
      </c>
      <c r="V123" s="2" t="str">
        <f aca="false">IF(Calculations!A123,Settings!$B$5,"")</f>
        <v/>
      </c>
      <c r="W123" s="2" t="str">
        <f aca="false">Calculations!N123</f>
        <v/>
      </c>
      <c r="X123" s="1" t="str">
        <f aca="false">Calculations!O123</f>
        <v/>
      </c>
      <c r="Y123" s="1" t="str">
        <f aca="false">IF(Calculations!P123="","",Calculations!P123)</f>
        <v/>
      </c>
    </row>
    <row r="124" customFormat="false" ht="13.8" hidden="false" customHeight="false" outlineLevel="0" collapsed="false">
      <c r="A124" s="23"/>
      <c r="B124" s="23"/>
      <c r="C124" s="2" t="str">
        <f aca="false">IF(Calculations!A124,Dates!D124,"")</f>
        <v/>
      </c>
      <c r="D124" s="2" t="str">
        <f aca="false">IF(Calculations!A124,1,"")</f>
        <v/>
      </c>
      <c r="E124" s="2" t="str">
        <f aca="false">IF(Calculations!A124,Dates!I124,"")</f>
        <v/>
      </c>
      <c r="F124" s="2" t="str">
        <f aca="false">IF(Calculations!A124,Dates!J124,"")</f>
        <v/>
      </c>
      <c r="G124" s="11" t="str">
        <f aca="false">IF(Calculations!A124,Dates!K124,"")</f>
        <v/>
      </c>
      <c r="H124" s="2" t="str">
        <f aca="false">IF(Calculations!A124,Dates!H124,"")</f>
        <v/>
      </c>
      <c r="I124" s="12"/>
      <c r="J124" s="12"/>
      <c r="K124" s="2" t="n">
        <f aca="false">IF(ISNUMBER(I124),1,0)</f>
        <v>0</v>
      </c>
      <c r="L124" s="2"/>
      <c r="M124" s="28" t="str">
        <f aca="false">Calculations!I124</f>
        <v/>
      </c>
      <c r="N124" s="2" t="str">
        <f aca="false">IF(Calculations!A124,Settings!$B$5,"")</f>
        <v/>
      </c>
      <c r="O124" s="2" t="str">
        <f aca="false">Calculations!J124</f>
        <v/>
      </c>
      <c r="P124" s="2" t="str">
        <f aca="false">IF(Calculations!A124,Settings!$B$5,"")</f>
        <v/>
      </c>
      <c r="Q124" s="2" t="str">
        <f aca="false">Calculations!K124</f>
        <v/>
      </c>
      <c r="R124" s="2" t="str">
        <f aca="false">IF(Calculations!A124,Settings!$B$5,"")</f>
        <v/>
      </c>
      <c r="S124" s="2" t="str">
        <f aca="false">Calculations!L124</f>
        <v/>
      </c>
      <c r="T124" s="2" t="str">
        <f aca="false">IF(Calculations!A124,Settings!$B$5,"")</f>
        <v/>
      </c>
      <c r="U124" s="2" t="str">
        <f aca="false">Calculations!M124</f>
        <v/>
      </c>
      <c r="V124" s="2" t="str">
        <f aca="false">IF(Calculations!A124,Settings!$B$5,"")</f>
        <v/>
      </c>
      <c r="W124" s="2" t="str">
        <f aca="false">Calculations!N124</f>
        <v/>
      </c>
      <c r="X124" s="1" t="str">
        <f aca="false">Calculations!O124</f>
        <v/>
      </c>
      <c r="Y124" s="1" t="str">
        <f aca="false">IF(Calculations!P124="","",Calculations!P124)</f>
        <v/>
      </c>
    </row>
    <row r="125" customFormat="false" ht="13.8" hidden="false" customHeight="false" outlineLevel="0" collapsed="false">
      <c r="A125" s="23"/>
      <c r="B125" s="23"/>
      <c r="C125" s="2" t="str">
        <f aca="false">IF(Calculations!A125,Dates!D125,"")</f>
        <v/>
      </c>
      <c r="D125" s="2" t="str">
        <f aca="false">IF(Calculations!A125,1,"")</f>
        <v/>
      </c>
      <c r="E125" s="2" t="str">
        <f aca="false">IF(Calculations!A125,Dates!I125,"")</f>
        <v/>
      </c>
      <c r="F125" s="2" t="str">
        <f aca="false">IF(Calculations!A125,Dates!J125,"")</f>
        <v/>
      </c>
      <c r="G125" s="11" t="str">
        <f aca="false">IF(Calculations!A125,Dates!K125,"")</f>
        <v/>
      </c>
      <c r="H125" s="2" t="str">
        <f aca="false">IF(Calculations!A125,Dates!H125,"")</f>
        <v/>
      </c>
      <c r="I125" s="12"/>
      <c r="J125" s="12"/>
      <c r="K125" s="2" t="n">
        <f aca="false">IF(ISNUMBER(I125),1,0)</f>
        <v>0</v>
      </c>
      <c r="L125" s="2"/>
      <c r="M125" s="28" t="str">
        <f aca="false">Calculations!I125</f>
        <v/>
      </c>
      <c r="N125" s="2" t="str">
        <f aca="false">IF(Calculations!A125,Settings!$B$5,"")</f>
        <v/>
      </c>
      <c r="O125" s="2" t="str">
        <f aca="false">Calculations!J125</f>
        <v/>
      </c>
      <c r="P125" s="2" t="str">
        <f aca="false">IF(Calculations!A125,Settings!$B$5,"")</f>
        <v/>
      </c>
      <c r="Q125" s="2" t="str">
        <f aca="false">Calculations!K125</f>
        <v/>
      </c>
      <c r="R125" s="2" t="str">
        <f aca="false">IF(Calculations!A125,Settings!$B$5,"")</f>
        <v/>
      </c>
      <c r="S125" s="2" t="str">
        <f aca="false">Calculations!L125</f>
        <v/>
      </c>
      <c r="T125" s="2" t="str">
        <f aca="false">IF(Calculations!A125,Settings!$B$5,"")</f>
        <v/>
      </c>
      <c r="U125" s="2" t="str">
        <f aca="false">Calculations!M125</f>
        <v/>
      </c>
      <c r="V125" s="2" t="str">
        <f aca="false">IF(Calculations!A125,Settings!$B$5,"")</f>
        <v/>
      </c>
      <c r="W125" s="2" t="str">
        <f aca="false">Calculations!N125</f>
        <v/>
      </c>
      <c r="X125" s="1" t="str">
        <f aca="false">Calculations!O125</f>
        <v/>
      </c>
      <c r="Y125" s="1" t="str">
        <f aca="false">IF(Calculations!P125="","",Calculations!P125)</f>
        <v/>
      </c>
    </row>
    <row r="126" customFormat="false" ht="13.8" hidden="false" customHeight="false" outlineLevel="0" collapsed="false">
      <c r="A126" s="23"/>
      <c r="B126" s="23"/>
      <c r="C126" s="2" t="str">
        <f aca="false">IF(Calculations!A126,Dates!D126,"")</f>
        <v/>
      </c>
      <c r="D126" s="2" t="str">
        <f aca="false">IF(Calculations!A126,1,"")</f>
        <v/>
      </c>
      <c r="E126" s="2" t="str">
        <f aca="false">IF(Calculations!A126,Dates!I126,"")</f>
        <v/>
      </c>
      <c r="F126" s="2" t="str">
        <f aca="false">IF(Calculations!A126,Dates!J126,"")</f>
        <v/>
      </c>
      <c r="G126" s="11" t="str">
        <f aca="false">IF(Calculations!A126,Dates!K126,"")</f>
        <v/>
      </c>
      <c r="H126" s="2" t="str">
        <f aca="false">IF(Calculations!A126,Dates!H126,"")</f>
        <v/>
      </c>
      <c r="I126" s="12"/>
      <c r="J126" s="12"/>
      <c r="K126" s="2" t="n">
        <f aca="false">IF(ISNUMBER(I126),1,0)</f>
        <v>0</v>
      </c>
      <c r="L126" s="2"/>
      <c r="M126" s="28" t="str">
        <f aca="false">Calculations!I126</f>
        <v/>
      </c>
      <c r="N126" s="2" t="str">
        <f aca="false">IF(Calculations!A126,Settings!$B$5,"")</f>
        <v/>
      </c>
      <c r="O126" s="2" t="str">
        <f aca="false">Calculations!J126</f>
        <v/>
      </c>
      <c r="P126" s="2" t="str">
        <f aca="false">IF(Calculations!A126,Settings!$B$5,"")</f>
        <v/>
      </c>
      <c r="Q126" s="2" t="str">
        <f aca="false">Calculations!K126</f>
        <v/>
      </c>
      <c r="R126" s="2" t="str">
        <f aca="false">IF(Calculations!A126,Settings!$B$5,"")</f>
        <v/>
      </c>
      <c r="S126" s="2" t="str">
        <f aca="false">Calculations!L126</f>
        <v/>
      </c>
      <c r="T126" s="2" t="str">
        <f aca="false">IF(Calculations!A126,Settings!$B$5,"")</f>
        <v/>
      </c>
      <c r="U126" s="2" t="str">
        <f aca="false">Calculations!M126</f>
        <v/>
      </c>
      <c r="V126" s="2" t="str">
        <f aca="false">IF(Calculations!A126,Settings!$B$5,"")</f>
        <v/>
      </c>
      <c r="W126" s="2" t="str">
        <f aca="false">Calculations!N126</f>
        <v/>
      </c>
      <c r="X126" s="1" t="str">
        <f aca="false">Calculations!O126</f>
        <v/>
      </c>
      <c r="Y126" s="1" t="str">
        <f aca="false">IF(Calculations!P126="","",Calculations!P126)</f>
        <v/>
      </c>
    </row>
    <row r="127" customFormat="false" ht="13.8" hidden="false" customHeight="false" outlineLevel="0" collapsed="false">
      <c r="A127" s="23"/>
      <c r="B127" s="23"/>
      <c r="C127" s="2" t="str">
        <f aca="false">IF(Calculations!A127,Dates!D127,"")</f>
        <v/>
      </c>
      <c r="D127" s="2" t="str">
        <f aca="false">IF(Calculations!A127,1,"")</f>
        <v/>
      </c>
      <c r="E127" s="2" t="str">
        <f aca="false">IF(Calculations!A127,Dates!I127,"")</f>
        <v/>
      </c>
      <c r="F127" s="2" t="str">
        <f aca="false">IF(Calculations!A127,Dates!J127,"")</f>
        <v/>
      </c>
      <c r="G127" s="11" t="str">
        <f aca="false">IF(Calculations!A127,Dates!K127,"")</f>
        <v/>
      </c>
      <c r="H127" s="2" t="str">
        <f aca="false">IF(Calculations!A127,Dates!H127,"")</f>
        <v/>
      </c>
      <c r="I127" s="12"/>
      <c r="J127" s="12"/>
      <c r="K127" s="2" t="n">
        <f aca="false">IF(ISNUMBER(I127),1,0)</f>
        <v>0</v>
      </c>
      <c r="L127" s="2"/>
      <c r="M127" s="28" t="str">
        <f aca="false">Calculations!I127</f>
        <v/>
      </c>
      <c r="N127" s="2" t="str">
        <f aca="false">IF(Calculations!A127,Settings!$B$5,"")</f>
        <v/>
      </c>
      <c r="O127" s="2" t="str">
        <f aca="false">Calculations!J127</f>
        <v/>
      </c>
      <c r="P127" s="2" t="str">
        <f aca="false">IF(Calculations!A127,Settings!$B$5,"")</f>
        <v/>
      </c>
      <c r="Q127" s="2" t="str">
        <f aca="false">Calculations!K127</f>
        <v/>
      </c>
      <c r="R127" s="2" t="str">
        <f aca="false">IF(Calculations!A127,Settings!$B$5,"")</f>
        <v/>
      </c>
      <c r="S127" s="2" t="str">
        <f aca="false">Calculations!L127</f>
        <v/>
      </c>
      <c r="T127" s="2" t="str">
        <f aca="false">IF(Calculations!A127,Settings!$B$5,"")</f>
        <v/>
      </c>
      <c r="U127" s="2" t="str">
        <f aca="false">Calculations!M127</f>
        <v/>
      </c>
      <c r="V127" s="2" t="str">
        <f aca="false">IF(Calculations!A127,Settings!$B$5,"")</f>
        <v/>
      </c>
      <c r="W127" s="2" t="str">
        <f aca="false">Calculations!N127</f>
        <v/>
      </c>
      <c r="X127" s="1" t="str">
        <f aca="false">Calculations!O127</f>
        <v/>
      </c>
      <c r="Y127" s="1" t="str">
        <f aca="false">IF(Calculations!P127="","",Calculations!P127)</f>
        <v/>
      </c>
    </row>
    <row r="128" customFormat="false" ht="13.8" hidden="false" customHeight="false" outlineLevel="0" collapsed="false">
      <c r="A128" s="23"/>
      <c r="B128" s="23"/>
      <c r="C128" s="2" t="str">
        <f aca="false">IF(Calculations!A128,Dates!D128,"")</f>
        <v/>
      </c>
      <c r="D128" s="2" t="str">
        <f aca="false">IF(Calculations!A128,1,"")</f>
        <v/>
      </c>
      <c r="E128" s="2" t="str">
        <f aca="false">IF(Calculations!A128,Dates!I128,"")</f>
        <v/>
      </c>
      <c r="F128" s="2" t="str">
        <f aca="false">IF(Calculations!A128,Dates!J128,"")</f>
        <v/>
      </c>
      <c r="G128" s="11" t="str">
        <f aca="false">IF(Calculations!A128,Dates!K128,"")</f>
        <v/>
      </c>
      <c r="H128" s="2" t="str">
        <f aca="false">IF(Calculations!A128,Dates!H128,"")</f>
        <v/>
      </c>
      <c r="I128" s="12"/>
      <c r="J128" s="12"/>
      <c r="K128" s="2" t="n">
        <f aca="false">IF(ISNUMBER(I128),1,0)</f>
        <v>0</v>
      </c>
      <c r="L128" s="2"/>
      <c r="M128" s="28" t="str">
        <f aca="false">Calculations!I128</f>
        <v/>
      </c>
      <c r="N128" s="2" t="str">
        <f aca="false">IF(Calculations!A128,Settings!$B$5,"")</f>
        <v/>
      </c>
      <c r="O128" s="2" t="str">
        <f aca="false">Calculations!J128</f>
        <v/>
      </c>
      <c r="P128" s="2" t="str">
        <f aca="false">IF(Calculations!A128,Settings!$B$5,"")</f>
        <v/>
      </c>
      <c r="Q128" s="2" t="str">
        <f aca="false">Calculations!K128</f>
        <v/>
      </c>
      <c r="R128" s="2" t="str">
        <f aca="false">IF(Calculations!A128,Settings!$B$5,"")</f>
        <v/>
      </c>
      <c r="S128" s="2" t="str">
        <f aca="false">Calculations!L128</f>
        <v/>
      </c>
      <c r="T128" s="2" t="str">
        <f aca="false">IF(Calculations!A128,Settings!$B$5,"")</f>
        <v/>
      </c>
      <c r="U128" s="2" t="str">
        <f aca="false">Calculations!M128</f>
        <v/>
      </c>
      <c r="V128" s="2" t="str">
        <f aca="false">IF(Calculations!A128,Settings!$B$5,"")</f>
        <v/>
      </c>
      <c r="W128" s="2" t="str">
        <f aca="false">Calculations!N128</f>
        <v/>
      </c>
      <c r="X128" s="1" t="str">
        <f aca="false">Calculations!O128</f>
        <v/>
      </c>
      <c r="Y128" s="1" t="str">
        <f aca="false">IF(Calculations!P128="","",Calculations!P128)</f>
        <v/>
      </c>
    </row>
    <row r="129" customFormat="false" ht="13.8" hidden="false" customHeight="false" outlineLevel="0" collapsed="false">
      <c r="A129" s="23"/>
      <c r="B129" s="23"/>
      <c r="C129" s="2" t="str">
        <f aca="false">IF(Calculations!A129,Dates!D129,"")</f>
        <v/>
      </c>
      <c r="D129" s="2" t="str">
        <f aca="false">IF(Calculations!A129,1,"")</f>
        <v/>
      </c>
      <c r="E129" s="2" t="str">
        <f aca="false">IF(Calculations!A129,Dates!I129,"")</f>
        <v/>
      </c>
      <c r="F129" s="2" t="str">
        <f aca="false">IF(Calculations!A129,Dates!J129,"")</f>
        <v/>
      </c>
      <c r="G129" s="11" t="str">
        <f aca="false">IF(Calculations!A129,Dates!K129,"")</f>
        <v/>
      </c>
      <c r="H129" s="2" t="str">
        <f aca="false">IF(Calculations!A129,Dates!H129,"")</f>
        <v/>
      </c>
      <c r="I129" s="12"/>
      <c r="J129" s="12"/>
      <c r="K129" s="2" t="n">
        <f aca="false">IF(ISNUMBER(I129),1,0)</f>
        <v>0</v>
      </c>
      <c r="L129" s="2"/>
      <c r="M129" s="28" t="str">
        <f aca="false">Calculations!I129</f>
        <v/>
      </c>
      <c r="N129" s="2" t="str">
        <f aca="false">IF(Calculations!A129,Settings!$B$5,"")</f>
        <v/>
      </c>
      <c r="O129" s="2" t="str">
        <f aca="false">Calculations!J129</f>
        <v/>
      </c>
      <c r="P129" s="2" t="str">
        <f aca="false">IF(Calculations!A129,Settings!$B$5,"")</f>
        <v/>
      </c>
      <c r="Q129" s="2" t="str">
        <f aca="false">Calculations!K129</f>
        <v/>
      </c>
      <c r="R129" s="2" t="str">
        <f aca="false">IF(Calculations!A129,Settings!$B$5,"")</f>
        <v/>
      </c>
      <c r="S129" s="2" t="str">
        <f aca="false">Calculations!L129</f>
        <v/>
      </c>
      <c r="T129" s="2" t="str">
        <f aca="false">IF(Calculations!A129,Settings!$B$5,"")</f>
        <v/>
      </c>
      <c r="U129" s="2" t="str">
        <f aca="false">Calculations!M129</f>
        <v/>
      </c>
      <c r="V129" s="2" t="str">
        <f aca="false">IF(Calculations!A129,Settings!$B$5,"")</f>
        <v/>
      </c>
      <c r="W129" s="2" t="str">
        <f aca="false">Calculations!N129</f>
        <v/>
      </c>
      <c r="X129" s="1" t="str">
        <f aca="false">Calculations!O129</f>
        <v/>
      </c>
      <c r="Y129" s="1" t="str">
        <f aca="false">IF(Calculations!P129="","",Calculations!P129)</f>
        <v/>
      </c>
    </row>
    <row r="130" customFormat="false" ht="13.8" hidden="false" customHeight="false" outlineLevel="0" collapsed="false">
      <c r="A130" s="23"/>
      <c r="B130" s="23"/>
      <c r="C130" s="2" t="str">
        <f aca="false">IF(Calculations!A130,Dates!D130,"")</f>
        <v/>
      </c>
      <c r="D130" s="2" t="str">
        <f aca="false">IF(Calculations!A130,1,"")</f>
        <v/>
      </c>
      <c r="E130" s="2" t="str">
        <f aca="false">IF(Calculations!A130,Dates!I130,"")</f>
        <v/>
      </c>
      <c r="F130" s="2" t="str">
        <f aca="false">IF(Calculations!A130,Dates!J130,"")</f>
        <v/>
      </c>
      <c r="G130" s="11" t="str">
        <f aca="false">IF(Calculations!A130,Dates!K130,"")</f>
        <v/>
      </c>
      <c r="H130" s="2" t="str">
        <f aca="false">IF(Calculations!A130,Dates!H130,"")</f>
        <v/>
      </c>
      <c r="I130" s="12"/>
      <c r="J130" s="12"/>
      <c r="K130" s="2" t="n">
        <f aca="false">IF(ISNUMBER(I130),1,0)</f>
        <v>0</v>
      </c>
      <c r="L130" s="2"/>
      <c r="M130" s="28" t="str">
        <f aca="false">Calculations!I130</f>
        <v/>
      </c>
      <c r="N130" s="2" t="str">
        <f aca="false">IF(Calculations!A130,Settings!$B$5,"")</f>
        <v/>
      </c>
      <c r="O130" s="2" t="str">
        <f aca="false">Calculations!J130</f>
        <v/>
      </c>
      <c r="P130" s="2" t="str">
        <f aca="false">IF(Calculations!A130,Settings!$B$5,"")</f>
        <v/>
      </c>
      <c r="Q130" s="2" t="str">
        <f aca="false">Calculations!K130</f>
        <v/>
      </c>
      <c r="R130" s="2" t="str">
        <f aca="false">IF(Calculations!A130,Settings!$B$5,"")</f>
        <v/>
      </c>
      <c r="S130" s="2" t="str">
        <f aca="false">Calculations!L130</f>
        <v/>
      </c>
      <c r="T130" s="2" t="str">
        <f aca="false">IF(Calculations!A130,Settings!$B$5,"")</f>
        <v/>
      </c>
      <c r="U130" s="2" t="str">
        <f aca="false">Calculations!M130</f>
        <v/>
      </c>
      <c r="V130" s="2" t="str">
        <f aca="false">IF(Calculations!A130,Settings!$B$5,"")</f>
        <v/>
      </c>
      <c r="W130" s="2" t="str">
        <f aca="false">Calculations!N130</f>
        <v/>
      </c>
      <c r="X130" s="1" t="str">
        <f aca="false">Calculations!O130</f>
        <v/>
      </c>
      <c r="Y130" s="1" t="str">
        <f aca="false">IF(Calculations!P130="","",Calculations!P130)</f>
        <v/>
      </c>
    </row>
    <row r="131" customFormat="false" ht="13.8" hidden="false" customHeight="false" outlineLevel="0" collapsed="false">
      <c r="A131" s="23"/>
      <c r="B131" s="23"/>
      <c r="C131" s="2" t="str">
        <f aca="false">IF(Calculations!A131,Dates!D131,"")</f>
        <v/>
      </c>
      <c r="D131" s="2" t="str">
        <f aca="false">IF(Calculations!A131,1,"")</f>
        <v/>
      </c>
      <c r="E131" s="2" t="str">
        <f aca="false">IF(Calculations!A131,Dates!I131,"")</f>
        <v/>
      </c>
      <c r="F131" s="2" t="str">
        <f aca="false">IF(Calculations!A131,Dates!J131,"")</f>
        <v/>
      </c>
      <c r="G131" s="11" t="str">
        <f aca="false">IF(Calculations!A131,Dates!K131,"")</f>
        <v/>
      </c>
      <c r="H131" s="2" t="str">
        <f aca="false">IF(Calculations!A131,Dates!H131,"")</f>
        <v/>
      </c>
      <c r="I131" s="12"/>
      <c r="J131" s="12"/>
      <c r="K131" s="2" t="n">
        <f aca="false">IF(ISNUMBER(I131),1,0)</f>
        <v>0</v>
      </c>
      <c r="L131" s="2"/>
      <c r="M131" s="28" t="str">
        <f aca="false">Calculations!I131</f>
        <v/>
      </c>
      <c r="N131" s="2" t="str">
        <f aca="false">IF(Calculations!A131,Settings!$B$5,"")</f>
        <v/>
      </c>
      <c r="O131" s="29" t="str">
        <f aca="false">Calculations!J131</f>
        <v/>
      </c>
      <c r="P131" s="2" t="str">
        <f aca="false">IF(Calculations!A131,Settings!$B$5,"")</f>
        <v/>
      </c>
      <c r="Q131" s="2" t="str">
        <f aca="false">Calculations!K131</f>
        <v/>
      </c>
      <c r="R131" s="2" t="str">
        <f aca="false">IF(Calculations!A131,Settings!$B$5,"")</f>
        <v/>
      </c>
      <c r="S131" s="2" t="str">
        <f aca="false">Calculations!L131</f>
        <v/>
      </c>
      <c r="T131" s="2" t="str">
        <f aca="false">IF(Calculations!A131,Settings!$B$5,"")</f>
        <v/>
      </c>
      <c r="U131" s="2" t="str">
        <f aca="false">Calculations!M131</f>
        <v/>
      </c>
      <c r="V131" s="2" t="str">
        <f aca="false">IF(Calculations!A131,Settings!$B$5,"")</f>
        <v/>
      </c>
      <c r="W131" s="2" t="str">
        <f aca="false">Calculations!N131</f>
        <v/>
      </c>
      <c r="X131" s="1" t="str">
        <f aca="false">Calculations!O131</f>
        <v/>
      </c>
      <c r="Y131" s="1" t="str">
        <f aca="false">IF(Calculations!P131="","",Calculations!P131)</f>
        <v/>
      </c>
    </row>
    <row r="132" customFormat="false" ht="13.8" hidden="false" customHeight="false" outlineLevel="0" collapsed="false">
      <c r="A132" s="23"/>
      <c r="B132" s="23"/>
      <c r="C132" s="2" t="str">
        <f aca="false">IF(Calculations!A132,Dates!D132,"")</f>
        <v/>
      </c>
      <c r="D132" s="2" t="str">
        <f aca="false">IF(Calculations!A132,1,"")</f>
        <v/>
      </c>
      <c r="E132" s="2" t="str">
        <f aca="false">IF(Calculations!A132,Dates!I132,"")</f>
        <v/>
      </c>
      <c r="F132" s="2" t="str">
        <f aca="false">IF(Calculations!A132,Dates!J132,"")</f>
        <v/>
      </c>
      <c r="G132" s="11" t="str">
        <f aca="false">IF(Calculations!A132,Dates!K132,"")</f>
        <v/>
      </c>
      <c r="H132" s="2" t="str">
        <f aca="false">IF(Calculations!A132,Dates!H132,"")</f>
        <v/>
      </c>
      <c r="I132" s="12"/>
      <c r="J132" s="12"/>
      <c r="K132" s="2" t="n">
        <f aca="false">IF(ISNUMBER(I132),1,0)</f>
        <v>0</v>
      </c>
      <c r="L132" s="2"/>
      <c r="M132" s="28" t="str">
        <f aca="false">Calculations!I132</f>
        <v/>
      </c>
      <c r="N132" s="2" t="str">
        <f aca="false">IF(Calculations!A132,Settings!$B$5,"")</f>
        <v/>
      </c>
      <c r="O132" s="2" t="str">
        <f aca="false">Calculations!J132</f>
        <v/>
      </c>
      <c r="P132" s="2" t="str">
        <f aca="false">IF(Calculations!A132,Settings!$B$5,"")</f>
        <v/>
      </c>
      <c r="Q132" s="2" t="str">
        <f aca="false">Calculations!K132</f>
        <v/>
      </c>
      <c r="R132" s="2" t="str">
        <f aca="false">IF(Calculations!A132,Settings!$B$5,"")</f>
        <v/>
      </c>
      <c r="S132" s="2" t="str">
        <f aca="false">Calculations!L132</f>
        <v/>
      </c>
      <c r="T132" s="2" t="str">
        <f aca="false">IF(Calculations!A132,Settings!$B$5,"")</f>
        <v/>
      </c>
      <c r="U132" s="2" t="str">
        <f aca="false">Calculations!M132</f>
        <v/>
      </c>
      <c r="V132" s="2" t="str">
        <f aca="false">IF(Calculations!A132,Settings!$B$5,"")</f>
        <v/>
      </c>
      <c r="W132" s="2" t="str">
        <f aca="false">Calculations!N132</f>
        <v/>
      </c>
      <c r="X132" s="1" t="str">
        <f aca="false">Calculations!O132</f>
        <v/>
      </c>
      <c r="Y132" s="1" t="str">
        <f aca="false">IF(Calculations!P132="","",Calculations!P132)</f>
        <v/>
      </c>
    </row>
    <row r="133" customFormat="false" ht="13.8" hidden="false" customHeight="false" outlineLevel="0" collapsed="false">
      <c r="A133" s="23"/>
      <c r="B133" s="23"/>
      <c r="C133" s="2" t="str">
        <f aca="false">IF(Calculations!A133,Dates!D133,"")</f>
        <v/>
      </c>
      <c r="D133" s="2" t="str">
        <f aca="false">IF(Calculations!A133,1,"")</f>
        <v/>
      </c>
      <c r="E133" s="2" t="str">
        <f aca="false">IF(Calculations!A133,Dates!I133,"")</f>
        <v/>
      </c>
      <c r="F133" s="2" t="str">
        <f aca="false">IF(Calculations!A133,Dates!J133,"")</f>
        <v/>
      </c>
      <c r="G133" s="11" t="str">
        <f aca="false">IF(Calculations!A133,Dates!K133,"")</f>
        <v/>
      </c>
      <c r="H133" s="2" t="str">
        <f aca="false">IF(Calculations!A133,Dates!H133,"")</f>
        <v/>
      </c>
      <c r="I133" s="12"/>
      <c r="J133" s="12"/>
      <c r="K133" s="2" t="n">
        <f aca="false">IF(ISNUMBER(I133),1,0)</f>
        <v>0</v>
      </c>
      <c r="L133" s="2"/>
      <c r="M133" s="28" t="str">
        <f aca="false">Calculations!I133</f>
        <v/>
      </c>
      <c r="N133" s="2" t="str">
        <f aca="false">IF(Calculations!A133,Settings!$B$5,"")</f>
        <v/>
      </c>
      <c r="O133" s="2" t="str">
        <f aca="false">Calculations!J133</f>
        <v/>
      </c>
      <c r="P133" s="2" t="str">
        <f aca="false">IF(Calculations!A133,Settings!$B$5,"")</f>
        <v/>
      </c>
      <c r="Q133" s="2" t="str">
        <f aca="false">Calculations!K133</f>
        <v/>
      </c>
      <c r="R133" s="2" t="str">
        <f aca="false">IF(Calculations!A133,Settings!$B$5,"")</f>
        <v/>
      </c>
      <c r="S133" s="2" t="str">
        <f aca="false">Calculations!L133</f>
        <v/>
      </c>
      <c r="T133" s="2" t="str">
        <f aca="false">IF(Calculations!A133,Settings!$B$5,"")</f>
        <v/>
      </c>
      <c r="U133" s="2" t="str">
        <f aca="false">Calculations!M133</f>
        <v/>
      </c>
      <c r="V133" s="2" t="str">
        <f aca="false">IF(Calculations!A133,Settings!$B$5,"")</f>
        <v/>
      </c>
      <c r="W133" s="2" t="str">
        <f aca="false">Calculations!N133</f>
        <v/>
      </c>
      <c r="X133" s="1" t="str">
        <f aca="false">Calculations!O133</f>
        <v/>
      </c>
      <c r="Y133" s="1" t="str">
        <f aca="false">IF(Calculations!P133="","",Calculations!P133)</f>
        <v/>
      </c>
    </row>
    <row r="134" customFormat="false" ht="13.8" hidden="false" customHeight="false" outlineLevel="0" collapsed="false">
      <c r="A134" s="23"/>
      <c r="B134" s="23"/>
      <c r="C134" s="2" t="str">
        <f aca="false">IF(Calculations!A134,Dates!D134,"")</f>
        <v/>
      </c>
      <c r="D134" s="2" t="str">
        <f aca="false">IF(Calculations!A134,1,"")</f>
        <v/>
      </c>
      <c r="E134" s="2" t="str">
        <f aca="false">IF(Calculations!A134,Dates!I134,"")</f>
        <v/>
      </c>
      <c r="F134" s="2" t="str">
        <f aca="false">IF(Calculations!A134,Dates!J134,"")</f>
        <v/>
      </c>
      <c r="G134" s="11" t="str">
        <f aca="false">IF(Calculations!A134,Dates!K134,"")</f>
        <v/>
      </c>
      <c r="H134" s="2" t="str">
        <f aca="false">IF(Calculations!A134,Dates!H134,"")</f>
        <v/>
      </c>
      <c r="I134" s="12"/>
      <c r="J134" s="12"/>
      <c r="K134" s="2" t="n">
        <f aca="false">IF(ISNUMBER(I134),1,0)</f>
        <v>0</v>
      </c>
      <c r="L134" s="2"/>
      <c r="M134" s="28" t="str">
        <f aca="false">Calculations!I134</f>
        <v/>
      </c>
      <c r="N134" s="2" t="str">
        <f aca="false">IF(Calculations!A134,Settings!$B$5,"")</f>
        <v/>
      </c>
      <c r="O134" s="2" t="str">
        <f aca="false">Calculations!J134</f>
        <v/>
      </c>
      <c r="P134" s="2" t="str">
        <f aca="false">IF(Calculations!A134,Settings!$B$5,"")</f>
        <v/>
      </c>
      <c r="Q134" s="2" t="str">
        <f aca="false">Calculations!K134</f>
        <v/>
      </c>
      <c r="R134" s="2" t="str">
        <f aca="false">IF(Calculations!A134,Settings!$B$5,"")</f>
        <v/>
      </c>
      <c r="S134" s="2" t="str">
        <f aca="false">Calculations!L134</f>
        <v/>
      </c>
      <c r="T134" s="2" t="str">
        <f aca="false">IF(Calculations!A134,Settings!$B$5,"")</f>
        <v/>
      </c>
      <c r="U134" s="2" t="str">
        <f aca="false">Calculations!M134</f>
        <v/>
      </c>
      <c r="V134" s="2" t="str">
        <f aca="false">IF(Calculations!A134,Settings!$B$5,"")</f>
        <v/>
      </c>
      <c r="W134" s="2" t="str">
        <f aca="false">Calculations!N134</f>
        <v/>
      </c>
      <c r="X134" s="1" t="str">
        <f aca="false">Calculations!O134</f>
        <v/>
      </c>
      <c r="Y134" s="1" t="str">
        <f aca="false">IF(Calculations!P134="","",Calculations!P134)</f>
        <v/>
      </c>
    </row>
    <row r="135" customFormat="false" ht="13.8" hidden="false" customHeight="false" outlineLevel="0" collapsed="false">
      <c r="A135" s="23"/>
      <c r="B135" s="23"/>
      <c r="C135" s="2" t="str">
        <f aca="false">IF(Calculations!A135,Dates!D135,"")</f>
        <v/>
      </c>
      <c r="D135" s="2" t="str">
        <f aca="false">IF(Calculations!A135,1,"")</f>
        <v/>
      </c>
      <c r="E135" s="2" t="str">
        <f aca="false">IF(Calculations!A135,Dates!I135,"")</f>
        <v/>
      </c>
      <c r="F135" s="2" t="str">
        <f aca="false">IF(Calculations!A135,Dates!J135,"")</f>
        <v/>
      </c>
      <c r="G135" s="11" t="str">
        <f aca="false">IF(Calculations!A135,Dates!K135,"")</f>
        <v/>
      </c>
      <c r="H135" s="2" t="str">
        <f aca="false">IF(Calculations!A135,Dates!H135,"")</f>
        <v/>
      </c>
      <c r="I135" s="12"/>
      <c r="J135" s="12"/>
      <c r="K135" s="2" t="n">
        <f aca="false">IF(ISNUMBER(I135),1,0)</f>
        <v>0</v>
      </c>
      <c r="L135" s="2"/>
      <c r="M135" s="28" t="str">
        <f aca="false">Calculations!I135</f>
        <v/>
      </c>
      <c r="N135" s="2" t="str">
        <f aca="false">IF(Calculations!A135,Settings!$B$5,"")</f>
        <v/>
      </c>
      <c r="O135" s="2" t="str">
        <f aca="false">Calculations!J135</f>
        <v/>
      </c>
      <c r="P135" s="2" t="str">
        <f aca="false">IF(Calculations!A135,Settings!$B$5,"")</f>
        <v/>
      </c>
      <c r="Q135" s="2" t="str">
        <f aca="false">Calculations!K135</f>
        <v/>
      </c>
      <c r="R135" s="2" t="str">
        <f aca="false">IF(Calculations!A135,Settings!$B$5,"")</f>
        <v/>
      </c>
      <c r="S135" s="2" t="str">
        <f aca="false">Calculations!L135</f>
        <v/>
      </c>
      <c r="T135" s="2" t="str">
        <f aca="false">IF(Calculations!A135,Settings!$B$5,"")</f>
        <v/>
      </c>
      <c r="U135" s="2" t="str">
        <f aca="false">Calculations!M135</f>
        <v/>
      </c>
      <c r="V135" s="2" t="str">
        <f aca="false">IF(Calculations!A135,Settings!$B$5,"")</f>
        <v/>
      </c>
      <c r="W135" s="2" t="str">
        <f aca="false">Calculations!N135</f>
        <v/>
      </c>
      <c r="X135" s="1" t="str">
        <f aca="false">Calculations!O135</f>
        <v/>
      </c>
      <c r="Y135" s="1" t="str">
        <f aca="false">IF(Calculations!P135="","",Calculations!P135)</f>
        <v/>
      </c>
    </row>
    <row r="136" customFormat="false" ht="13.8" hidden="false" customHeight="false" outlineLevel="0" collapsed="false">
      <c r="A136" s="23"/>
      <c r="B136" s="23"/>
      <c r="C136" s="2" t="str">
        <f aca="false">IF(Calculations!A136,Dates!D136,"")</f>
        <v/>
      </c>
      <c r="D136" s="2" t="str">
        <f aca="false">IF(Calculations!A136,1,"")</f>
        <v/>
      </c>
      <c r="E136" s="2" t="str">
        <f aca="false">IF(Calculations!A136,Dates!I136,"")</f>
        <v/>
      </c>
      <c r="F136" s="2" t="str">
        <f aca="false">IF(Calculations!A136,Dates!J136,"")</f>
        <v/>
      </c>
      <c r="G136" s="11" t="str">
        <f aca="false">IF(Calculations!A136,Dates!K136,"")</f>
        <v/>
      </c>
      <c r="H136" s="2" t="str">
        <f aca="false">IF(Calculations!A136,Dates!H136,"")</f>
        <v/>
      </c>
      <c r="I136" s="12"/>
      <c r="J136" s="12"/>
      <c r="K136" s="2" t="n">
        <f aca="false">IF(ISNUMBER(I136),1,0)</f>
        <v>0</v>
      </c>
      <c r="L136" s="2"/>
      <c r="M136" s="28" t="str">
        <f aca="false">Calculations!I136</f>
        <v/>
      </c>
      <c r="N136" s="2" t="str">
        <f aca="false">IF(Calculations!A136,Settings!$B$5,"")</f>
        <v/>
      </c>
      <c r="O136" s="2" t="str">
        <f aca="false">Calculations!J136</f>
        <v/>
      </c>
      <c r="P136" s="2" t="str">
        <f aca="false">IF(Calculations!A136,Settings!$B$5,"")</f>
        <v/>
      </c>
      <c r="Q136" s="2" t="str">
        <f aca="false">Calculations!K136</f>
        <v/>
      </c>
      <c r="R136" s="2" t="str">
        <f aca="false">IF(Calculations!A136,Settings!$B$5,"")</f>
        <v/>
      </c>
      <c r="S136" s="2" t="str">
        <f aca="false">Calculations!L136</f>
        <v/>
      </c>
      <c r="T136" s="2" t="str">
        <f aca="false">IF(Calculations!A136,Settings!$B$5,"")</f>
        <v/>
      </c>
      <c r="U136" s="2" t="str">
        <f aca="false">Calculations!M136</f>
        <v/>
      </c>
      <c r="V136" s="2" t="str">
        <f aca="false">IF(Calculations!A136,Settings!$B$5,"")</f>
        <v/>
      </c>
      <c r="W136" s="2" t="str">
        <f aca="false">Calculations!N136</f>
        <v/>
      </c>
      <c r="X136" s="1" t="str">
        <f aca="false">Calculations!O136</f>
        <v/>
      </c>
      <c r="Y136" s="1" t="str">
        <f aca="false">IF(Calculations!P136="","",Calculations!P136)</f>
        <v/>
      </c>
    </row>
    <row r="137" customFormat="false" ht="13.8" hidden="false" customHeight="false" outlineLevel="0" collapsed="false">
      <c r="A137" s="23"/>
      <c r="B137" s="23"/>
      <c r="C137" s="2" t="str">
        <f aca="false">IF(Calculations!A137,Dates!D137,"")</f>
        <v/>
      </c>
      <c r="D137" s="2" t="str">
        <f aca="false">IF(Calculations!A137,1,"")</f>
        <v/>
      </c>
      <c r="E137" s="2" t="str">
        <f aca="false">IF(Calculations!A137,Dates!I137,"")</f>
        <v/>
      </c>
      <c r="F137" s="2" t="str">
        <f aca="false">IF(Calculations!A137,Dates!J137,"")</f>
        <v/>
      </c>
      <c r="G137" s="11" t="str">
        <f aca="false">IF(Calculations!A137,Dates!K137,"")</f>
        <v/>
      </c>
      <c r="H137" s="2" t="str">
        <f aca="false">IF(Calculations!A137,Dates!H137,"")</f>
        <v/>
      </c>
      <c r="I137" s="12"/>
      <c r="J137" s="12"/>
      <c r="K137" s="2" t="n">
        <f aca="false">IF(ISNUMBER(I137),1,0)</f>
        <v>0</v>
      </c>
      <c r="L137" s="2"/>
      <c r="M137" s="28" t="str">
        <f aca="false">Calculations!I137</f>
        <v/>
      </c>
      <c r="N137" s="2" t="str">
        <f aca="false">IF(Calculations!A137,Settings!$B$5,"")</f>
        <v/>
      </c>
      <c r="O137" s="2" t="str">
        <f aca="false">Calculations!J137</f>
        <v/>
      </c>
      <c r="P137" s="2" t="str">
        <f aca="false">IF(Calculations!A137,Settings!$B$5,"")</f>
        <v/>
      </c>
      <c r="Q137" s="2" t="str">
        <f aca="false">Calculations!K137</f>
        <v/>
      </c>
      <c r="R137" s="2" t="str">
        <f aca="false">IF(Calculations!A137,Settings!$B$5,"")</f>
        <v/>
      </c>
      <c r="S137" s="2" t="str">
        <f aca="false">Calculations!L137</f>
        <v/>
      </c>
      <c r="T137" s="2" t="str">
        <f aca="false">IF(Calculations!A137,Settings!$B$5,"")</f>
        <v/>
      </c>
      <c r="U137" s="2" t="str">
        <f aca="false">Calculations!M137</f>
        <v/>
      </c>
      <c r="V137" s="2" t="str">
        <f aca="false">IF(Calculations!A137,Settings!$B$5,"")</f>
        <v/>
      </c>
      <c r="W137" s="2" t="str">
        <f aca="false">Calculations!N137</f>
        <v/>
      </c>
      <c r="X137" s="1" t="str">
        <f aca="false">Calculations!O137</f>
        <v/>
      </c>
      <c r="Y137" s="1" t="str">
        <f aca="false">IF(Calculations!P137="","",Calculations!P137)</f>
        <v/>
      </c>
    </row>
    <row r="138" customFormat="false" ht="13.8" hidden="false" customHeight="false" outlineLevel="0" collapsed="false">
      <c r="A138" s="23"/>
      <c r="B138" s="23"/>
      <c r="C138" s="2" t="str">
        <f aca="false">IF(Calculations!A138,Dates!D138,"")</f>
        <v/>
      </c>
      <c r="D138" s="2" t="str">
        <f aca="false">IF(Calculations!A138,1,"")</f>
        <v/>
      </c>
      <c r="E138" s="2" t="str">
        <f aca="false">IF(Calculations!A138,Dates!I138,"")</f>
        <v/>
      </c>
      <c r="F138" s="2" t="str">
        <f aca="false">IF(Calculations!A138,Dates!J138,"")</f>
        <v/>
      </c>
      <c r="G138" s="11" t="str">
        <f aca="false">IF(Calculations!A138,Dates!K138,"")</f>
        <v/>
      </c>
      <c r="H138" s="2" t="str">
        <f aca="false">IF(Calculations!A138,Dates!H138,"")</f>
        <v/>
      </c>
      <c r="I138" s="12"/>
      <c r="J138" s="12"/>
      <c r="K138" s="2" t="n">
        <f aca="false">IF(ISNUMBER(I138),1,0)</f>
        <v>0</v>
      </c>
      <c r="L138" s="2"/>
      <c r="M138" s="28" t="str">
        <f aca="false">Calculations!I138</f>
        <v/>
      </c>
      <c r="N138" s="2" t="str">
        <f aca="false">IF(Calculations!A138,Settings!$B$5,"")</f>
        <v/>
      </c>
      <c r="O138" s="2" t="str">
        <f aca="false">Calculations!J138</f>
        <v/>
      </c>
      <c r="P138" s="2" t="str">
        <f aca="false">IF(Calculations!A138,Settings!$B$5,"")</f>
        <v/>
      </c>
      <c r="Q138" s="2" t="str">
        <f aca="false">Calculations!K138</f>
        <v/>
      </c>
      <c r="R138" s="2" t="str">
        <f aca="false">IF(Calculations!A138,Settings!$B$5,"")</f>
        <v/>
      </c>
      <c r="S138" s="2" t="str">
        <f aca="false">Calculations!L138</f>
        <v/>
      </c>
      <c r="T138" s="2" t="str">
        <f aca="false">IF(Calculations!A138,Settings!$B$5,"")</f>
        <v/>
      </c>
      <c r="U138" s="2" t="str">
        <f aca="false">Calculations!M138</f>
        <v/>
      </c>
      <c r="V138" s="2" t="str">
        <f aca="false">IF(Calculations!A138,Settings!$B$5,"")</f>
        <v/>
      </c>
      <c r="W138" s="2" t="str">
        <f aca="false">Calculations!N138</f>
        <v/>
      </c>
      <c r="X138" s="1" t="str">
        <f aca="false">Calculations!O138</f>
        <v/>
      </c>
      <c r="Y138" s="1" t="str">
        <f aca="false">IF(Calculations!P138="","",Calculations!P138)</f>
        <v/>
      </c>
    </row>
    <row r="139" customFormat="false" ht="13.8" hidden="false" customHeight="false" outlineLevel="0" collapsed="false">
      <c r="A139" s="23"/>
      <c r="B139" s="23"/>
      <c r="C139" s="2" t="str">
        <f aca="false">IF(Calculations!A139,Dates!D139,"")</f>
        <v/>
      </c>
      <c r="D139" s="2" t="str">
        <f aca="false">IF(Calculations!A139,1,"")</f>
        <v/>
      </c>
      <c r="E139" s="2" t="str">
        <f aca="false">IF(Calculations!A139,Dates!I139,"")</f>
        <v/>
      </c>
      <c r="F139" s="2" t="str">
        <f aca="false">IF(Calculations!A139,Dates!J139,"")</f>
        <v/>
      </c>
      <c r="G139" s="11" t="str">
        <f aca="false">IF(Calculations!A139,Dates!K139,"")</f>
        <v/>
      </c>
      <c r="H139" s="2" t="str">
        <f aca="false">IF(Calculations!A139,Dates!H139,"")</f>
        <v/>
      </c>
      <c r="I139" s="12"/>
      <c r="J139" s="12"/>
      <c r="K139" s="2" t="n">
        <f aca="false">IF(ISNUMBER(I139),1,0)</f>
        <v>0</v>
      </c>
      <c r="L139" s="2"/>
      <c r="M139" s="28" t="str">
        <f aca="false">Calculations!I139</f>
        <v/>
      </c>
      <c r="N139" s="2" t="str">
        <f aca="false">IF(Calculations!A139,Settings!$B$5,"")</f>
        <v/>
      </c>
      <c r="O139" s="2" t="str">
        <f aca="false">Calculations!J139</f>
        <v/>
      </c>
      <c r="P139" s="2" t="str">
        <f aca="false">IF(Calculations!A139,Settings!$B$5,"")</f>
        <v/>
      </c>
      <c r="Q139" s="2" t="str">
        <f aca="false">Calculations!K139</f>
        <v/>
      </c>
      <c r="R139" s="2" t="str">
        <f aca="false">IF(Calculations!A139,Settings!$B$5,"")</f>
        <v/>
      </c>
      <c r="S139" s="2" t="str">
        <f aca="false">Calculations!L139</f>
        <v/>
      </c>
      <c r="T139" s="2" t="str">
        <f aca="false">IF(Calculations!A139,Settings!$B$5,"")</f>
        <v/>
      </c>
      <c r="U139" s="2" t="str">
        <f aca="false">Calculations!M139</f>
        <v/>
      </c>
      <c r="V139" s="2" t="str">
        <f aca="false">IF(Calculations!A139,Settings!$B$5,"")</f>
        <v/>
      </c>
      <c r="W139" s="2" t="str">
        <f aca="false">Calculations!N139</f>
        <v/>
      </c>
      <c r="X139" s="1" t="str">
        <f aca="false">Calculations!O139</f>
        <v/>
      </c>
      <c r="Y139" s="1" t="str">
        <f aca="false">IF(Calculations!P139="","",Calculations!P139)</f>
        <v/>
      </c>
    </row>
    <row r="140" customFormat="false" ht="13.8" hidden="false" customHeight="false" outlineLevel="0" collapsed="false">
      <c r="A140" s="23"/>
      <c r="B140" s="23"/>
      <c r="C140" s="2" t="str">
        <f aca="false">IF(Calculations!A140,Dates!D140,"")</f>
        <v/>
      </c>
      <c r="D140" s="2" t="str">
        <f aca="false">IF(Calculations!A140,1,"")</f>
        <v/>
      </c>
      <c r="E140" s="2" t="str">
        <f aca="false">IF(Calculations!A140,Dates!I140,"")</f>
        <v/>
      </c>
      <c r="F140" s="2" t="str">
        <f aca="false">IF(Calculations!A140,Dates!J140,"")</f>
        <v/>
      </c>
      <c r="G140" s="11" t="str">
        <f aca="false">IF(Calculations!A140,Dates!K140,"")</f>
        <v/>
      </c>
      <c r="H140" s="2" t="str">
        <f aca="false">IF(Calculations!A140,Dates!H140,"")</f>
        <v/>
      </c>
      <c r="I140" s="12"/>
      <c r="J140" s="12"/>
      <c r="K140" s="2" t="n">
        <f aca="false">IF(ISNUMBER(I140),1,0)</f>
        <v>0</v>
      </c>
      <c r="L140" s="2"/>
      <c r="M140" s="28" t="str">
        <f aca="false">Calculations!I140</f>
        <v/>
      </c>
      <c r="N140" s="2" t="str">
        <f aca="false">IF(Calculations!A140,Settings!$B$5,"")</f>
        <v/>
      </c>
      <c r="O140" s="2" t="str">
        <f aca="false">Calculations!J140</f>
        <v/>
      </c>
      <c r="P140" s="2" t="str">
        <f aca="false">IF(Calculations!A140,Settings!$B$5,"")</f>
        <v/>
      </c>
      <c r="Q140" s="2" t="str">
        <f aca="false">Calculations!K140</f>
        <v/>
      </c>
      <c r="R140" s="2" t="str">
        <f aca="false">IF(Calculations!A140,Settings!$B$5,"")</f>
        <v/>
      </c>
      <c r="S140" s="2" t="str">
        <f aca="false">Calculations!L140</f>
        <v/>
      </c>
      <c r="T140" s="2" t="str">
        <f aca="false">IF(Calculations!A140,Settings!$B$5,"")</f>
        <v/>
      </c>
      <c r="U140" s="2" t="str">
        <f aca="false">Calculations!M140</f>
        <v/>
      </c>
      <c r="V140" s="2" t="str">
        <f aca="false">IF(Calculations!A140,Settings!$B$5,"")</f>
        <v/>
      </c>
      <c r="W140" s="2" t="str">
        <f aca="false">Calculations!N140</f>
        <v/>
      </c>
      <c r="X140" s="1" t="str">
        <f aca="false">Calculations!O140</f>
        <v/>
      </c>
      <c r="Y140" s="1" t="str">
        <f aca="false">IF(Calculations!P140="","",Calculations!P140)</f>
        <v/>
      </c>
    </row>
    <row r="141" customFormat="false" ht="13.8" hidden="false" customHeight="false" outlineLevel="0" collapsed="false">
      <c r="A141" s="23"/>
      <c r="B141" s="23"/>
      <c r="C141" s="2" t="str">
        <f aca="false">IF(Calculations!A141,Dates!D141,"")</f>
        <v/>
      </c>
      <c r="D141" s="2" t="str">
        <f aca="false">IF(Calculations!A141,1,"")</f>
        <v/>
      </c>
      <c r="E141" s="2" t="str">
        <f aca="false">IF(Calculations!A141,Dates!I141,"")</f>
        <v/>
      </c>
      <c r="F141" s="2" t="str">
        <f aca="false">IF(Calculations!A141,Dates!J141,"")</f>
        <v/>
      </c>
      <c r="G141" s="11" t="str">
        <f aca="false">IF(Calculations!A141,Dates!K141,"")</f>
        <v/>
      </c>
      <c r="H141" s="2" t="str">
        <f aca="false">IF(Calculations!A141,Dates!H141,"")</f>
        <v/>
      </c>
      <c r="I141" s="12"/>
      <c r="J141" s="12"/>
      <c r="K141" s="2" t="n">
        <f aca="false">IF(ISNUMBER(I141),1,0)</f>
        <v>0</v>
      </c>
      <c r="L141" s="2"/>
      <c r="M141" s="28" t="str">
        <f aca="false">Calculations!I141</f>
        <v/>
      </c>
      <c r="N141" s="2" t="str">
        <f aca="false">IF(Calculations!A141,Settings!$B$5,"")</f>
        <v/>
      </c>
      <c r="O141" s="2" t="str">
        <f aca="false">Calculations!J141</f>
        <v/>
      </c>
      <c r="P141" s="2" t="str">
        <f aca="false">IF(Calculations!A141,Settings!$B$5,"")</f>
        <v/>
      </c>
      <c r="Q141" s="2" t="str">
        <f aca="false">Calculations!K141</f>
        <v/>
      </c>
      <c r="R141" s="2" t="str">
        <f aca="false">IF(Calculations!A141,Settings!$B$5,"")</f>
        <v/>
      </c>
      <c r="S141" s="2" t="str">
        <f aca="false">Calculations!L141</f>
        <v/>
      </c>
      <c r="T141" s="2" t="str">
        <f aca="false">IF(Calculations!A141,Settings!$B$5,"")</f>
        <v/>
      </c>
      <c r="U141" s="2" t="str">
        <f aca="false">Calculations!M141</f>
        <v/>
      </c>
      <c r="V141" s="2" t="str">
        <f aca="false">IF(Calculations!A141,Settings!$B$5,"")</f>
        <v/>
      </c>
      <c r="W141" s="2" t="str">
        <f aca="false">Calculations!N141</f>
        <v/>
      </c>
      <c r="X141" s="1" t="str">
        <f aca="false">Calculations!O141</f>
        <v/>
      </c>
      <c r="Y141" s="1" t="str">
        <f aca="false">IF(Calculations!P141="","",Calculations!P141)</f>
        <v/>
      </c>
    </row>
    <row r="142" customFormat="false" ht="13.8" hidden="false" customHeight="false" outlineLevel="0" collapsed="false">
      <c r="A142" s="23"/>
      <c r="B142" s="23"/>
      <c r="C142" s="2" t="str">
        <f aca="false">IF(Calculations!A142,Dates!D142,"")</f>
        <v/>
      </c>
      <c r="D142" s="2" t="str">
        <f aca="false">IF(Calculations!A142,1,"")</f>
        <v/>
      </c>
      <c r="E142" s="2" t="str">
        <f aca="false">IF(Calculations!A142,Dates!I142,"")</f>
        <v/>
      </c>
      <c r="F142" s="2" t="str">
        <f aca="false">IF(Calculations!A142,Dates!J142,"")</f>
        <v/>
      </c>
      <c r="G142" s="11" t="str">
        <f aca="false">IF(Calculations!A142,Dates!K142,"")</f>
        <v/>
      </c>
      <c r="H142" s="2" t="str">
        <f aca="false">IF(Calculations!A142,Dates!H142,"")</f>
        <v/>
      </c>
      <c r="I142" s="12"/>
      <c r="J142" s="12"/>
      <c r="K142" s="2" t="n">
        <f aca="false">IF(ISNUMBER(I142),1,0)</f>
        <v>0</v>
      </c>
      <c r="L142" s="2"/>
      <c r="M142" s="28" t="str">
        <f aca="false">Calculations!I142</f>
        <v/>
      </c>
      <c r="N142" s="2" t="str">
        <f aca="false">IF(Calculations!A142,Settings!$B$5,"")</f>
        <v/>
      </c>
      <c r="O142" s="2" t="str">
        <f aca="false">Calculations!J142</f>
        <v/>
      </c>
      <c r="P142" s="2" t="str">
        <f aca="false">IF(Calculations!A142,Settings!$B$5,"")</f>
        <v/>
      </c>
      <c r="Q142" s="2" t="str">
        <f aca="false">Calculations!K142</f>
        <v/>
      </c>
      <c r="R142" s="2" t="str">
        <f aca="false">IF(Calculations!A142,Settings!$B$5,"")</f>
        <v/>
      </c>
      <c r="S142" s="2" t="str">
        <f aca="false">Calculations!L142</f>
        <v/>
      </c>
      <c r="T142" s="2" t="str">
        <f aca="false">IF(Calculations!A142,Settings!$B$5,"")</f>
        <v/>
      </c>
      <c r="U142" s="2" t="str">
        <f aca="false">Calculations!M142</f>
        <v/>
      </c>
      <c r="V142" s="2" t="str">
        <f aca="false">IF(Calculations!A142,Settings!$B$5,"")</f>
        <v/>
      </c>
      <c r="W142" s="2" t="str">
        <f aca="false">Calculations!N142</f>
        <v/>
      </c>
      <c r="X142" s="1" t="str">
        <f aca="false">Calculations!O142</f>
        <v/>
      </c>
      <c r="Y142" s="1" t="str">
        <f aca="false">IF(Calculations!P142="","",Calculations!P142)</f>
        <v/>
      </c>
    </row>
    <row r="143" customFormat="false" ht="13.8" hidden="false" customHeight="false" outlineLevel="0" collapsed="false">
      <c r="A143" s="23"/>
      <c r="B143" s="23"/>
      <c r="C143" s="2" t="str">
        <f aca="false">IF(Calculations!A143,Dates!D143,"")</f>
        <v/>
      </c>
      <c r="D143" s="2" t="str">
        <f aca="false">IF(Calculations!A143,1,"")</f>
        <v/>
      </c>
      <c r="E143" s="2" t="str">
        <f aca="false">IF(Calculations!A143,Dates!I143,"")</f>
        <v/>
      </c>
      <c r="F143" s="2" t="str">
        <f aca="false">IF(Calculations!A143,Dates!J143,"")</f>
        <v/>
      </c>
      <c r="G143" s="11" t="str">
        <f aca="false">IF(Calculations!A143,Dates!K143,"")</f>
        <v/>
      </c>
      <c r="H143" s="2" t="str">
        <f aca="false">IF(Calculations!A143,Dates!H143,"")</f>
        <v/>
      </c>
      <c r="I143" s="12"/>
      <c r="J143" s="12"/>
      <c r="K143" s="2" t="n">
        <f aca="false">IF(ISNUMBER(I143),1,0)</f>
        <v>0</v>
      </c>
      <c r="L143" s="2"/>
      <c r="M143" s="28" t="str">
        <f aca="false">Calculations!I143</f>
        <v/>
      </c>
      <c r="N143" s="2" t="str">
        <f aca="false">IF(Calculations!A143,Settings!$B$5,"")</f>
        <v/>
      </c>
      <c r="O143" s="2" t="str">
        <f aca="false">Calculations!J143</f>
        <v/>
      </c>
      <c r="P143" s="2" t="str">
        <f aca="false">IF(Calculations!A143,Settings!$B$5,"")</f>
        <v/>
      </c>
      <c r="Q143" s="2" t="str">
        <f aca="false">Calculations!K143</f>
        <v/>
      </c>
      <c r="R143" s="2" t="str">
        <f aca="false">IF(Calculations!A143,Settings!$B$5,"")</f>
        <v/>
      </c>
      <c r="S143" s="2" t="str">
        <f aca="false">Calculations!L143</f>
        <v/>
      </c>
      <c r="T143" s="2" t="str">
        <f aca="false">IF(Calculations!A143,Settings!$B$5,"")</f>
        <v/>
      </c>
      <c r="U143" s="2" t="str">
        <f aca="false">Calculations!M143</f>
        <v/>
      </c>
      <c r="V143" s="2" t="str">
        <f aca="false">IF(Calculations!A143,Settings!$B$5,"")</f>
        <v/>
      </c>
      <c r="W143" s="2" t="str">
        <f aca="false">Calculations!N143</f>
        <v/>
      </c>
      <c r="X143" s="1" t="str">
        <f aca="false">Calculations!O143</f>
        <v/>
      </c>
      <c r="Y143" s="1" t="str">
        <f aca="false">IF(Calculations!P143="","",Calculations!P143)</f>
        <v/>
      </c>
    </row>
    <row r="144" customFormat="false" ht="13.8" hidden="false" customHeight="false" outlineLevel="0" collapsed="false">
      <c r="A144" s="23"/>
      <c r="B144" s="23"/>
      <c r="C144" s="2" t="str">
        <f aca="false">IF(Calculations!A144,Dates!D144,"")</f>
        <v/>
      </c>
      <c r="D144" s="2" t="str">
        <f aca="false">IF(Calculations!A144,1,"")</f>
        <v/>
      </c>
      <c r="E144" s="2" t="str">
        <f aca="false">IF(Calculations!A144,Dates!I144,"")</f>
        <v/>
      </c>
      <c r="F144" s="2" t="str">
        <f aca="false">IF(Calculations!A144,Dates!J144,"")</f>
        <v/>
      </c>
      <c r="G144" s="11" t="str">
        <f aca="false">IF(Calculations!A144,Dates!K144,"")</f>
        <v/>
      </c>
      <c r="H144" s="2" t="str">
        <f aca="false">IF(Calculations!A144,Dates!H144,"")</f>
        <v/>
      </c>
      <c r="I144" s="12"/>
      <c r="J144" s="12"/>
      <c r="K144" s="2" t="n">
        <f aca="false">IF(ISNUMBER(I144),1,0)</f>
        <v>0</v>
      </c>
      <c r="L144" s="2"/>
      <c r="M144" s="28" t="str">
        <f aca="false">Calculations!I144</f>
        <v/>
      </c>
      <c r="N144" s="2" t="str">
        <f aca="false">IF(Calculations!A144,Settings!$B$5,"")</f>
        <v/>
      </c>
      <c r="O144" s="2" t="str">
        <f aca="false">Calculations!J144</f>
        <v/>
      </c>
      <c r="P144" s="2" t="str">
        <f aca="false">IF(Calculations!A144,Settings!$B$5,"")</f>
        <v/>
      </c>
      <c r="Q144" s="2" t="str">
        <f aca="false">Calculations!K144</f>
        <v/>
      </c>
      <c r="R144" s="2" t="str">
        <f aca="false">IF(Calculations!A144,Settings!$B$5,"")</f>
        <v/>
      </c>
      <c r="S144" s="2" t="str">
        <f aca="false">Calculations!L144</f>
        <v/>
      </c>
      <c r="T144" s="2" t="str">
        <f aca="false">IF(Calculations!A144,Settings!$B$5,"")</f>
        <v/>
      </c>
      <c r="U144" s="2" t="str">
        <f aca="false">Calculations!M144</f>
        <v/>
      </c>
      <c r="V144" s="2" t="str">
        <f aca="false">IF(Calculations!A144,Settings!$B$5,"")</f>
        <v/>
      </c>
      <c r="W144" s="2" t="str">
        <f aca="false">Calculations!N144</f>
        <v/>
      </c>
      <c r="X144" s="1" t="str">
        <f aca="false">Calculations!O144</f>
        <v/>
      </c>
      <c r="Y144" s="1" t="str">
        <f aca="false">IF(Calculations!P144="","",Calculations!P144)</f>
        <v/>
      </c>
    </row>
    <row r="145" customFormat="false" ht="13.8" hidden="false" customHeight="false" outlineLevel="0" collapsed="false">
      <c r="A145" s="23"/>
      <c r="B145" s="23"/>
      <c r="C145" s="2" t="str">
        <f aca="false">IF(Calculations!A145,Dates!D145,"")</f>
        <v/>
      </c>
      <c r="D145" s="2" t="str">
        <f aca="false">IF(Calculations!A145,1,"")</f>
        <v/>
      </c>
      <c r="E145" s="2" t="str">
        <f aca="false">IF(Calculations!A145,Dates!I145,"")</f>
        <v/>
      </c>
      <c r="F145" s="2" t="str">
        <f aca="false">IF(Calculations!A145,Dates!J145,"")</f>
        <v/>
      </c>
      <c r="G145" s="11" t="str">
        <f aca="false">IF(Calculations!A145,Dates!K145,"")</f>
        <v/>
      </c>
      <c r="H145" s="2" t="str">
        <f aca="false">IF(Calculations!A145,Dates!H145,"")</f>
        <v/>
      </c>
      <c r="I145" s="12"/>
      <c r="J145" s="12"/>
      <c r="K145" s="2" t="n">
        <f aca="false">IF(ISNUMBER(I145),1,0)</f>
        <v>0</v>
      </c>
      <c r="L145" s="2"/>
      <c r="M145" s="28" t="str">
        <f aca="false">Calculations!I145</f>
        <v/>
      </c>
      <c r="N145" s="2" t="str">
        <f aca="false">IF(Calculations!A145,Settings!$B$5,"")</f>
        <v/>
      </c>
      <c r="O145" s="2" t="str">
        <f aca="false">Calculations!J145</f>
        <v/>
      </c>
      <c r="P145" s="2" t="str">
        <f aca="false">IF(Calculations!A145,Settings!$B$5,"")</f>
        <v/>
      </c>
      <c r="Q145" s="2" t="str">
        <f aca="false">Calculations!K145</f>
        <v/>
      </c>
      <c r="R145" s="2" t="str">
        <f aca="false">IF(Calculations!A145,Settings!$B$5,"")</f>
        <v/>
      </c>
      <c r="S145" s="2" t="str">
        <f aca="false">Calculations!L145</f>
        <v/>
      </c>
      <c r="T145" s="2" t="str">
        <f aca="false">IF(Calculations!A145,Settings!$B$5,"")</f>
        <v/>
      </c>
      <c r="U145" s="2" t="str">
        <f aca="false">Calculations!M145</f>
        <v/>
      </c>
      <c r="V145" s="2" t="str">
        <f aca="false">IF(Calculations!A145,Settings!$B$5,"")</f>
        <v/>
      </c>
      <c r="W145" s="2" t="str">
        <f aca="false">Calculations!N145</f>
        <v/>
      </c>
      <c r="X145" s="1" t="str">
        <f aca="false">Calculations!O145</f>
        <v/>
      </c>
      <c r="Y145" s="1" t="str">
        <f aca="false">IF(Calculations!P145="","",Calculations!P145)</f>
        <v/>
      </c>
    </row>
    <row r="146" customFormat="false" ht="13.8" hidden="false" customHeight="false" outlineLevel="0" collapsed="false">
      <c r="A146" s="23"/>
      <c r="B146" s="23"/>
      <c r="C146" s="2" t="str">
        <f aca="false">IF(Calculations!A146,Dates!D146,"")</f>
        <v/>
      </c>
      <c r="D146" s="2" t="str">
        <f aca="false">IF(Calculations!A146,1,"")</f>
        <v/>
      </c>
      <c r="E146" s="2" t="str">
        <f aca="false">IF(Calculations!A146,Dates!I146,"")</f>
        <v/>
      </c>
      <c r="F146" s="2" t="str">
        <f aca="false">IF(Calculations!A146,Dates!J146,"")</f>
        <v/>
      </c>
      <c r="G146" s="11" t="str">
        <f aca="false">IF(Calculations!A146,Dates!K146,"")</f>
        <v/>
      </c>
      <c r="H146" s="2" t="str">
        <f aca="false">IF(Calculations!A146,Dates!H146,"")</f>
        <v/>
      </c>
      <c r="I146" s="12"/>
      <c r="J146" s="12"/>
      <c r="K146" s="2" t="n">
        <f aca="false">IF(ISNUMBER(I146),1,0)</f>
        <v>0</v>
      </c>
      <c r="L146" s="2"/>
      <c r="M146" s="28" t="str">
        <f aca="false">Calculations!I146</f>
        <v/>
      </c>
      <c r="N146" s="2" t="str">
        <f aca="false">IF(Calculations!A146,Settings!$B$5,"")</f>
        <v/>
      </c>
      <c r="O146" s="2" t="str">
        <f aca="false">Calculations!J146</f>
        <v/>
      </c>
      <c r="P146" s="2" t="str">
        <f aca="false">IF(Calculations!A146,Settings!$B$5,"")</f>
        <v/>
      </c>
      <c r="Q146" s="2" t="str">
        <f aca="false">Calculations!K146</f>
        <v/>
      </c>
      <c r="R146" s="2" t="str">
        <f aca="false">IF(Calculations!A146,Settings!$B$5,"")</f>
        <v/>
      </c>
      <c r="S146" s="2" t="str">
        <f aca="false">Calculations!L146</f>
        <v/>
      </c>
      <c r="T146" s="2" t="str">
        <f aca="false">IF(Calculations!A146,Settings!$B$5,"")</f>
        <v/>
      </c>
      <c r="U146" s="2" t="str">
        <f aca="false">Calculations!M146</f>
        <v/>
      </c>
      <c r="V146" s="2" t="str">
        <f aca="false">IF(Calculations!A146,Settings!$B$5,"")</f>
        <v/>
      </c>
      <c r="W146" s="2" t="str">
        <f aca="false">Calculations!N146</f>
        <v/>
      </c>
      <c r="X146" s="1" t="str">
        <f aca="false">Calculations!O146</f>
        <v/>
      </c>
      <c r="Y146" s="1" t="str">
        <f aca="false">IF(Calculations!P146="","",Calculations!P146)</f>
        <v/>
      </c>
    </row>
    <row r="147" customFormat="false" ht="13.8" hidden="false" customHeight="false" outlineLevel="0" collapsed="false">
      <c r="A147" s="23"/>
      <c r="B147" s="23"/>
      <c r="C147" s="2" t="str">
        <f aca="false">IF(Calculations!A147,Dates!D147,"")</f>
        <v/>
      </c>
      <c r="D147" s="2" t="str">
        <f aca="false">IF(Calculations!A147,1,"")</f>
        <v/>
      </c>
      <c r="E147" s="2" t="str">
        <f aca="false">IF(Calculations!A147,Dates!I147,"")</f>
        <v/>
      </c>
      <c r="F147" s="2" t="str">
        <f aca="false">IF(Calculations!A147,Dates!J147,"")</f>
        <v/>
      </c>
      <c r="G147" s="11" t="str">
        <f aca="false">IF(Calculations!A147,Dates!K147,"")</f>
        <v/>
      </c>
      <c r="H147" s="2" t="str">
        <f aca="false">IF(Calculations!A147,Dates!H147,"")</f>
        <v/>
      </c>
      <c r="I147" s="12"/>
      <c r="J147" s="12"/>
      <c r="K147" s="2" t="n">
        <f aca="false">IF(ISNUMBER(I147),1,0)</f>
        <v>0</v>
      </c>
      <c r="L147" s="2"/>
      <c r="M147" s="28" t="str">
        <f aca="false">Calculations!I147</f>
        <v/>
      </c>
      <c r="N147" s="2" t="str">
        <f aca="false">IF(Calculations!A147,Settings!$B$5,"")</f>
        <v/>
      </c>
      <c r="O147" s="2" t="str">
        <f aca="false">Calculations!J147</f>
        <v/>
      </c>
      <c r="P147" s="2" t="str">
        <f aca="false">IF(Calculations!A147,Settings!$B$5,"")</f>
        <v/>
      </c>
      <c r="Q147" s="2" t="str">
        <f aca="false">Calculations!K147</f>
        <v/>
      </c>
      <c r="R147" s="2" t="str">
        <f aca="false">IF(Calculations!A147,Settings!$B$5,"")</f>
        <v/>
      </c>
      <c r="S147" s="2" t="str">
        <f aca="false">Calculations!L147</f>
        <v/>
      </c>
      <c r="T147" s="2" t="str">
        <f aca="false">IF(Calculations!A147,Settings!$B$5,"")</f>
        <v/>
      </c>
      <c r="U147" s="2" t="str">
        <f aca="false">Calculations!M147</f>
        <v/>
      </c>
      <c r="V147" s="2" t="str">
        <f aca="false">IF(Calculations!A147,Settings!$B$5,"")</f>
        <v/>
      </c>
      <c r="W147" s="2" t="str">
        <f aca="false">Calculations!N147</f>
        <v/>
      </c>
      <c r="X147" s="1" t="str">
        <f aca="false">Calculations!O147</f>
        <v/>
      </c>
      <c r="Y147" s="1" t="str">
        <f aca="false">IF(Calculations!P147="","",Calculations!P147)</f>
        <v/>
      </c>
    </row>
    <row r="148" customFormat="false" ht="13.8" hidden="false" customHeight="false" outlineLevel="0" collapsed="false">
      <c r="A148" s="23"/>
      <c r="B148" s="23"/>
      <c r="C148" s="2" t="str">
        <f aca="false">IF(Calculations!A148,Dates!D148,"")</f>
        <v/>
      </c>
      <c r="D148" s="2" t="str">
        <f aca="false">IF(Calculations!A148,1,"")</f>
        <v/>
      </c>
      <c r="E148" s="2" t="str">
        <f aca="false">IF(Calculations!A148,Dates!I148,"")</f>
        <v/>
      </c>
      <c r="F148" s="2" t="str">
        <f aca="false">IF(Calculations!A148,Dates!J148,"")</f>
        <v/>
      </c>
      <c r="G148" s="11" t="str">
        <f aca="false">IF(Calculations!A148,Dates!K148,"")</f>
        <v/>
      </c>
      <c r="H148" s="2" t="str">
        <f aca="false">IF(Calculations!A148,Dates!H148,"")</f>
        <v/>
      </c>
      <c r="I148" s="12"/>
      <c r="J148" s="12"/>
      <c r="K148" s="2" t="n">
        <f aca="false">IF(ISNUMBER(I148),1,0)</f>
        <v>0</v>
      </c>
      <c r="L148" s="2"/>
      <c r="M148" s="28" t="str">
        <f aca="false">Calculations!I148</f>
        <v/>
      </c>
      <c r="N148" s="2" t="str">
        <f aca="false">IF(Calculations!A148,Settings!$B$5,"")</f>
        <v/>
      </c>
      <c r="O148" s="2" t="str">
        <f aca="false">Calculations!J148</f>
        <v/>
      </c>
      <c r="P148" s="2" t="str">
        <f aca="false">IF(Calculations!A148,Settings!$B$5,"")</f>
        <v/>
      </c>
      <c r="Q148" s="2" t="str">
        <f aca="false">Calculations!K148</f>
        <v/>
      </c>
      <c r="R148" s="2" t="str">
        <f aca="false">IF(Calculations!A148,Settings!$B$5,"")</f>
        <v/>
      </c>
      <c r="S148" s="2" t="str">
        <f aca="false">Calculations!L148</f>
        <v/>
      </c>
      <c r="T148" s="2" t="str">
        <f aca="false">IF(Calculations!A148,Settings!$B$5,"")</f>
        <v/>
      </c>
      <c r="U148" s="2" t="str">
        <f aca="false">Calculations!M148</f>
        <v/>
      </c>
      <c r="V148" s="2" t="str">
        <f aca="false">IF(Calculations!A148,Settings!$B$5,"")</f>
        <v/>
      </c>
      <c r="W148" s="2" t="str">
        <f aca="false">Calculations!N148</f>
        <v/>
      </c>
      <c r="X148" s="1" t="str">
        <f aca="false">Calculations!O148</f>
        <v/>
      </c>
      <c r="Y148" s="1" t="str">
        <f aca="false">IF(Calculations!P148="","",Calculations!P148)</f>
        <v/>
      </c>
    </row>
    <row r="149" customFormat="false" ht="13.8" hidden="false" customHeight="false" outlineLevel="0" collapsed="false">
      <c r="A149" s="23"/>
      <c r="B149" s="23"/>
      <c r="C149" s="2" t="str">
        <f aca="false">IF(Calculations!A149,Dates!D149,"")</f>
        <v/>
      </c>
      <c r="D149" s="2" t="str">
        <f aca="false">IF(Calculations!A149,1,"")</f>
        <v/>
      </c>
      <c r="E149" s="2" t="str">
        <f aca="false">IF(Calculations!A149,Dates!I149,"")</f>
        <v/>
      </c>
      <c r="F149" s="2" t="str">
        <f aca="false">IF(Calculations!A149,Dates!J149,"")</f>
        <v/>
      </c>
      <c r="G149" s="11" t="str">
        <f aca="false">IF(Calculations!A149,Dates!K149,"")</f>
        <v/>
      </c>
      <c r="H149" s="2" t="str">
        <f aca="false">IF(Calculations!A149,Dates!H149,"")</f>
        <v/>
      </c>
      <c r="I149" s="12"/>
      <c r="J149" s="12"/>
      <c r="K149" s="2" t="n">
        <f aca="false">IF(ISNUMBER(I149),1,0)</f>
        <v>0</v>
      </c>
      <c r="L149" s="2"/>
      <c r="M149" s="28" t="str">
        <f aca="false">Calculations!I149</f>
        <v/>
      </c>
      <c r="N149" s="2" t="str">
        <f aca="false">IF(Calculations!A149,Settings!$B$5,"")</f>
        <v/>
      </c>
      <c r="O149" s="2" t="str">
        <f aca="false">Calculations!J149</f>
        <v/>
      </c>
      <c r="P149" s="2" t="str">
        <f aca="false">IF(Calculations!A149,Settings!$B$5,"")</f>
        <v/>
      </c>
      <c r="Q149" s="2" t="str">
        <f aca="false">Calculations!K149</f>
        <v/>
      </c>
      <c r="R149" s="2" t="str">
        <f aca="false">IF(Calculations!A149,Settings!$B$5,"")</f>
        <v/>
      </c>
      <c r="S149" s="2" t="str">
        <f aca="false">Calculations!L149</f>
        <v/>
      </c>
      <c r="T149" s="2" t="str">
        <f aca="false">IF(Calculations!A149,Settings!$B$5,"")</f>
        <v/>
      </c>
      <c r="U149" s="2" t="str">
        <f aca="false">Calculations!M149</f>
        <v/>
      </c>
      <c r="V149" s="2" t="str">
        <f aca="false">IF(Calculations!A149,Settings!$B$5,"")</f>
        <v/>
      </c>
      <c r="W149" s="2" t="str">
        <f aca="false">Calculations!N149</f>
        <v/>
      </c>
      <c r="X149" s="1" t="str">
        <f aca="false">Calculations!O149</f>
        <v/>
      </c>
      <c r="Y149" s="1" t="str">
        <f aca="false">IF(Calculations!P149="","",Calculations!P149)</f>
        <v/>
      </c>
    </row>
    <row r="150" customFormat="false" ht="13.8" hidden="false" customHeight="false" outlineLevel="0" collapsed="false">
      <c r="A150" s="23"/>
      <c r="B150" s="23"/>
      <c r="C150" s="2" t="str">
        <f aca="false">IF(Calculations!A150,Dates!D150,"")</f>
        <v/>
      </c>
      <c r="D150" s="2" t="str">
        <f aca="false">IF(Calculations!A150,1,"")</f>
        <v/>
      </c>
      <c r="E150" s="2" t="str">
        <f aca="false">IF(Calculations!A150,Dates!I150,"")</f>
        <v/>
      </c>
      <c r="F150" s="2" t="str">
        <f aca="false">IF(Calculations!A150,Dates!J150,"")</f>
        <v/>
      </c>
      <c r="G150" s="11" t="str">
        <f aca="false">IF(Calculations!A150,Dates!K150,"")</f>
        <v/>
      </c>
      <c r="H150" s="2" t="str">
        <f aca="false">IF(Calculations!A150,Dates!H150,"")</f>
        <v/>
      </c>
      <c r="I150" s="12"/>
      <c r="J150" s="12"/>
      <c r="K150" s="2" t="n">
        <f aca="false">IF(ISNUMBER(I150),1,0)</f>
        <v>0</v>
      </c>
      <c r="L150" s="2"/>
      <c r="M150" s="28" t="str">
        <f aca="false">Calculations!I150</f>
        <v/>
      </c>
      <c r="N150" s="2" t="str">
        <f aca="false">IF(Calculations!A150,Settings!$B$5,"")</f>
        <v/>
      </c>
      <c r="O150" s="2" t="str">
        <f aca="false">Calculations!J150</f>
        <v/>
      </c>
      <c r="P150" s="2" t="str">
        <f aca="false">IF(Calculations!A150,Settings!$B$5,"")</f>
        <v/>
      </c>
      <c r="Q150" s="2" t="str">
        <f aca="false">Calculations!K150</f>
        <v/>
      </c>
      <c r="R150" s="2" t="str">
        <f aca="false">IF(Calculations!A150,Settings!$B$5,"")</f>
        <v/>
      </c>
      <c r="S150" s="2" t="str">
        <f aca="false">Calculations!L150</f>
        <v/>
      </c>
      <c r="T150" s="2" t="str">
        <f aca="false">IF(Calculations!A150,Settings!$B$5,"")</f>
        <v/>
      </c>
      <c r="U150" s="2" t="str">
        <f aca="false">Calculations!M150</f>
        <v/>
      </c>
      <c r="V150" s="2" t="str">
        <f aca="false">IF(Calculations!A150,Settings!$B$5,"")</f>
        <v/>
      </c>
      <c r="W150" s="2" t="str">
        <f aca="false">Calculations!N150</f>
        <v/>
      </c>
      <c r="X150" s="1" t="str">
        <f aca="false">Calculations!O150</f>
        <v/>
      </c>
      <c r="Y150" s="1" t="str">
        <f aca="false">IF(Calculations!P150="","",Calculations!P150)</f>
        <v/>
      </c>
    </row>
    <row r="151" customFormat="false" ht="13.8" hidden="false" customHeight="false" outlineLevel="0" collapsed="false">
      <c r="A151" s="23"/>
      <c r="B151" s="23"/>
      <c r="C151" s="2" t="str">
        <f aca="false">IF(Calculations!A151,Dates!D151,"")</f>
        <v/>
      </c>
      <c r="D151" s="2" t="str">
        <f aca="false">IF(Calculations!A151,1,"")</f>
        <v/>
      </c>
      <c r="E151" s="2" t="str">
        <f aca="false">IF(Calculations!A151,Dates!I151,"")</f>
        <v/>
      </c>
      <c r="F151" s="2" t="str">
        <f aca="false">IF(Calculations!A151,Dates!J151,"")</f>
        <v/>
      </c>
      <c r="G151" s="11" t="str">
        <f aca="false">IF(Calculations!A151,Dates!K151,"")</f>
        <v/>
      </c>
      <c r="H151" s="2" t="str">
        <f aca="false">IF(Calculations!A151,Dates!H151,"")</f>
        <v/>
      </c>
      <c r="I151" s="12"/>
      <c r="J151" s="12"/>
      <c r="K151" s="2" t="n">
        <f aca="false">IF(ISNUMBER(I151),1,0)</f>
        <v>0</v>
      </c>
      <c r="L151" s="2"/>
      <c r="M151" s="28" t="str">
        <f aca="false">Calculations!I151</f>
        <v/>
      </c>
      <c r="N151" s="2" t="str">
        <f aca="false">IF(Calculations!A151,Settings!$B$5,"")</f>
        <v/>
      </c>
      <c r="O151" s="2" t="str">
        <f aca="false">Calculations!J151</f>
        <v/>
      </c>
      <c r="P151" s="2" t="str">
        <f aca="false">IF(Calculations!A151,Settings!$B$5,"")</f>
        <v/>
      </c>
      <c r="Q151" s="2" t="str">
        <f aca="false">Calculations!K151</f>
        <v/>
      </c>
      <c r="R151" s="2" t="str">
        <f aca="false">IF(Calculations!A151,Settings!$B$5,"")</f>
        <v/>
      </c>
      <c r="S151" s="2" t="str">
        <f aca="false">Calculations!L151</f>
        <v/>
      </c>
      <c r="T151" s="2" t="str">
        <f aca="false">IF(Calculations!A151,Settings!$B$5,"")</f>
        <v/>
      </c>
      <c r="U151" s="2" t="str">
        <f aca="false">Calculations!M151</f>
        <v/>
      </c>
      <c r="V151" s="2" t="str">
        <f aca="false">IF(Calculations!A151,Settings!$B$5,"")</f>
        <v/>
      </c>
      <c r="W151" s="2" t="str">
        <f aca="false">Calculations!N151</f>
        <v/>
      </c>
      <c r="X151" s="1" t="str">
        <f aca="false">Calculations!O151</f>
        <v/>
      </c>
      <c r="Y151" s="1" t="str">
        <f aca="false">IF(Calculations!P151="","",Calculations!P151)</f>
        <v/>
      </c>
    </row>
    <row r="152" customFormat="false" ht="13.8" hidden="false" customHeight="false" outlineLevel="0" collapsed="false">
      <c r="A152" s="23"/>
      <c r="B152" s="23"/>
      <c r="C152" s="2" t="str">
        <f aca="false">IF(Calculations!A152,Dates!D152,"")</f>
        <v/>
      </c>
      <c r="D152" s="2" t="str">
        <f aca="false">IF(Calculations!A152,1,"")</f>
        <v/>
      </c>
      <c r="E152" s="2" t="str">
        <f aca="false">IF(Calculations!A152,Dates!I152,"")</f>
        <v/>
      </c>
      <c r="F152" s="2" t="str">
        <f aca="false">IF(Calculations!A152,Dates!J152,"")</f>
        <v/>
      </c>
      <c r="G152" s="11" t="str">
        <f aca="false">IF(Calculations!A152,Dates!K152,"")</f>
        <v/>
      </c>
      <c r="H152" s="2" t="str">
        <f aca="false">IF(Calculations!A152,Dates!H152,"")</f>
        <v/>
      </c>
      <c r="I152" s="12"/>
      <c r="J152" s="12"/>
      <c r="K152" s="2" t="n">
        <f aca="false">IF(ISNUMBER(I152),1,0)</f>
        <v>0</v>
      </c>
      <c r="L152" s="2"/>
      <c r="M152" s="28" t="str">
        <f aca="false">Calculations!I152</f>
        <v/>
      </c>
      <c r="N152" s="2" t="str">
        <f aca="false">IF(Calculations!A152,Settings!$B$5,"")</f>
        <v/>
      </c>
      <c r="O152" s="2" t="str">
        <f aca="false">Calculations!J152</f>
        <v/>
      </c>
      <c r="P152" s="2" t="str">
        <f aca="false">IF(Calculations!A152,Settings!$B$5,"")</f>
        <v/>
      </c>
      <c r="Q152" s="2" t="str">
        <f aca="false">Calculations!K152</f>
        <v/>
      </c>
      <c r="R152" s="2" t="str">
        <f aca="false">IF(Calculations!A152,Settings!$B$5,"")</f>
        <v/>
      </c>
      <c r="S152" s="2" t="str">
        <f aca="false">Calculations!L152</f>
        <v/>
      </c>
      <c r="T152" s="2" t="str">
        <f aca="false">IF(Calculations!A152,Settings!$B$5,"")</f>
        <v/>
      </c>
      <c r="U152" s="2" t="str">
        <f aca="false">Calculations!M152</f>
        <v/>
      </c>
      <c r="V152" s="2" t="str">
        <f aca="false">IF(Calculations!A152,Settings!$B$5,"")</f>
        <v/>
      </c>
      <c r="W152" s="2" t="str">
        <f aca="false">Calculations!N152</f>
        <v/>
      </c>
      <c r="X152" s="1" t="str">
        <f aca="false">Calculations!O152</f>
        <v/>
      </c>
      <c r="Y152" s="1" t="str">
        <f aca="false">IF(Calculations!P152="","",Calculations!P152)</f>
        <v/>
      </c>
    </row>
    <row r="153" customFormat="false" ht="13.8" hidden="false" customHeight="false" outlineLevel="0" collapsed="false">
      <c r="A153" s="23"/>
      <c r="B153" s="23"/>
      <c r="C153" s="2" t="str">
        <f aca="false">IF(Calculations!A153,Dates!D153,"")</f>
        <v/>
      </c>
      <c r="D153" s="2" t="str">
        <f aca="false">IF(Calculations!A153,1,"")</f>
        <v/>
      </c>
      <c r="E153" s="2" t="str">
        <f aca="false">IF(Calculations!A153,Dates!I153,"")</f>
        <v/>
      </c>
      <c r="F153" s="2" t="str">
        <f aca="false">IF(Calculations!A153,Dates!J153,"")</f>
        <v/>
      </c>
      <c r="G153" s="11" t="str">
        <f aca="false">IF(Calculations!A153,Dates!K153,"")</f>
        <v/>
      </c>
      <c r="H153" s="2" t="str">
        <f aca="false">IF(Calculations!A153,Dates!H153,"")</f>
        <v/>
      </c>
      <c r="I153" s="12"/>
      <c r="J153" s="12"/>
      <c r="K153" s="2" t="n">
        <f aca="false">IF(ISNUMBER(I153),1,0)</f>
        <v>0</v>
      </c>
      <c r="L153" s="2"/>
      <c r="M153" s="28" t="str">
        <f aca="false">Calculations!I153</f>
        <v/>
      </c>
      <c r="N153" s="2" t="str">
        <f aca="false">IF(Calculations!A153,Settings!$B$5,"")</f>
        <v/>
      </c>
      <c r="O153" s="2" t="str">
        <f aca="false">Calculations!J153</f>
        <v/>
      </c>
      <c r="P153" s="2" t="str">
        <f aca="false">IF(Calculations!A153,Settings!$B$5,"")</f>
        <v/>
      </c>
      <c r="Q153" s="2" t="str">
        <f aca="false">Calculations!K153</f>
        <v/>
      </c>
      <c r="R153" s="2" t="str">
        <f aca="false">IF(Calculations!A153,Settings!$B$5,"")</f>
        <v/>
      </c>
      <c r="S153" s="2" t="str">
        <f aca="false">Calculations!L153</f>
        <v/>
      </c>
      <c r="T153" s="2" t="str">
        <f aca="false">IF(Calculations!A153,Settings!$B$5,"")</f>
        <v/>
      </c>
      <c r="U153" s="2" t="str">
        <f aca="false">Calculations!M153</f>
        <v/>
      </c>
      <c r="V153" s="2" t="str">
        <f aca="false">IF(Calculations!A153,Settings!$B$5,"")</f>
        <v/>
      </c>
      <c r="W153" s="2" t="str">
        <f aca="false">Calculations!N153</f>
        <v/>
      </c>
      <c r="X153" s="1" t="str">
        <f aca="false">Calculations!O153</f>
        <v/>
      </c>
      <c r="Y153" s="1" t="str">
        <f aca="false">IF(Calculations!P153="","",Calculations!P153)</f>
        <v/>
      </c>
    </row>
    <row r="154" customFormat="false" ht="13.8" hidden="false" customHeight="false" outlineLevel="0" collapsed="false">
      <c r="A154" s="23"/>
      <c r="B154" s="23"/>
      <c r="C154" s="2" t="str">
        <f aca="false">IF(Calculations!A154,Dates!D154,"")</f>
        <v/>
      </c>
      <c r="D154" s="2" t="str">
        <f aca="false">IF(Calculations!A154,1,"")</f>
        <v/>
      </c>
      <c r="E154" s="2" t="str">
        <f aca="false">IF(Calculations!A154,Dates!I154,"")</f>
        <v/>
      </c>
      <c r="F154" s="2" t="str">
        <f aca="false">IF(Calculations!A154,Dates!J154,"")</f>
        <v/>
      </c>
      <c r="G154" s="11" t="str">
        <f aca="false">IF(Calculations!A154,Dates!K154,"")</f>
        <v/>
      </c>
      <c r="H154" s="2" t="str">
        <f aca="false">IF(Calculations!A154,Dates!H154,"")</f>
        <v/>
      </c>
      <c r="I154" s="12"/>
      <c r="J154" s="12"/>
      <c r="K154" s="2" t="n">
        <f aca="false">IF(ISNUMBER(I154),1,0)</f>
        <v>0</v>
      </c>
      <c r="L154" s="2"/>
      <c r="M154" s="28" t="str">
        <f aca="false">Calculations!I154</f>
        <v/>
      </c>
      <c r="N154" s="2" t="str">
        <f aca="false">IF(Calculations!A154,Settings!$B$5,"")</f>
        <v/>
      </c>
      <c r="O154" s="2" t="str">
        <f aca="false">Calculations!J154</f>
        <v/>
      </c>
      <c r="P154" s="2" t="str">
        <f aca="false">IF(Calculations!A154,Settings!$B$5,"")</f>
        <v/>
      </c>
      <c r="Q154" s="2" t="str">
        <f aca="false">Calculations!K154</f>
        <v/>
      </c>
      <c r="R154" s="2" t="str">
        <f aca="false">IF(Calculations!A154,Settings!$B$5,"")</f>
        <v/>
      </c>
      <c r="S154" s="2" t="str">
        <f aca="false">Calculations!L154</f>
        <v/>
      </c>
      <c r="T154" s="2" t="str">
        <f aca="false">IF(Calculations!A154,Settings!$B$5,"")</f>
        <v/>
      </c>
      <c r="U154" s="2" t="str">
        <f aca="false">Calculations!M154</f>
        <v/>
      </c>
      <c r="V154" s="2" t="str">
        <f aca="false">IF(Calculations!A154,Settings!$B$5,"")</f>
        <v/>
      </c>
      <c r="W154" s="2" t="str">
        <f aca="false">Calculations!N154</f>
        <v/>
      </c>
      <c r="X154" s="1" t="str">
        <f aca="false">Calculations!O154</f>
        <v/>
      </c>
      <c r="Y154" s="1" t="str">
        <f aca="false">IF(Calculations!P154="","",Calculations!P154)</f>
        <v/>
      </c>
    </row>
    <row r="155" customFormat="false" ht="13.8" hidden="false" customHeight="false" outlineLevel="0" collapsed="false">
      <c r="A155" s="23"/>
      <c r="B155" s="23"/>
      <c r="C155" s="2" t="str">
        <f aca="false">IF(Calculations!A155,Dates!D155,"")</f>
        <v/>
      </c>
      <c r="D155" s="2" t="str">
        <f aca="false">IF(Calculations!A155,1,"")</f>
        <v/>
      </c>
      <c r="E155" s="2" t="str">
        <f aca="false">IF(Calculations!A155,Dates!I155,"")</f>
        <v/>
      </c>
      <c r="F155" s="2" t="str">
        <f aca="false">IF(Calculations!A155,Dates!J155,"")</f>
        <v/>
      </c>
      <c r="G155" s="11" t="str">
        <f aca="false">IF(Calculations!A155,Dates!K155,"")</f>
        <v/>
      </c>
      <c r="H155" s="2" t="str">
        <f aca="false">IF(Calculations!A155,Dates!H155,"")</f>
        <v/>
      </c>
      <c r="I155" s="12"/>
      <c r="J155" s="12"/>
      <c r="K155" s="2" t="n">
        <f aca="false">IF(ISNUMBER(I155),1,0)</f>
        <v>0</v>
      </c>
      <c r="L155" s="2"/>
      <c r="M155" s="28" t="str">
        <f aca="false">Calculations!I155</f>
        <v/>
      </c>
      <c r="N155" s="2" t="str">
        <f aca="false">IF(Calculations!A155,Settings!$B$5,"")</f>
        <v/>
      </c>
      <c r="O155" s="2" t="str">
        <f aca="false">Calculations!J155</f>
        <v/>
      </c>
      <c r="P155" s="2" t="str">
        <f aca="false">IF(Calculations!A155,Settings!$B$5,"")</f>
        <v/>
      </c>
      <c r="Q155" s="2" t="str">
        <f aca="false">Calculations!K155</f>
        <v/>
      </c>
      <c r="R155" s="2" t="str">
        <f aca="false">IF(Calculations!A155,Settings!$B$5,"")</f>
        <v/>
      </c>
      <c r="S155" s="2" t="str">
        <f aca="false">Calculations!L155</f>
        <v/>
      </c>
      <c r="T155" s="2" t="str">
        <f aca="false">IF(Calculations!A155,Settings!$B$5,"")</f>
        <v/>
      </c>
      <c r="U155" s="2" t="str">
        <f aca="false">Calculations!M155</f>
        <v/>
      </c>
      <c r="V155" s="2" t="str">
        <f aca="false">IF(Calculations!A155,Settings!$B$5,"")</f>
        <v/>
      </c>
      <c r="W155" s="2" t="str">
        <f aca="false">Calculations!N155</f>
        <v/>
      </c>
      <c r="X155" s="1" t="str">
        <f aca="false">Calculations!O155</f>
        <v/>
      </c>
      <c r="Y155" s="1" t="str">
        <f aca="false">IF(Calculations!P155="","",Calculations!P155)</f>
        <v/>
      </c>
    </row>
    <row r="156" customFormat="false" ht="13.8" hidden="false" customHeight="false" outlineLevel="0" collapsed="false">
      <c r="A156" s="23"/>
      <c r="B156" s="23"/>
      <c r="C156" s="2" t="str">
        <f aca="false">IF(Calculations!A156,Dates!D156,"")</f>
        <v/>
      </c>
      <c r="D156" s="2" t="str">
        <f aca="false">IF(Calculations!A156,1,"")</f>
        <v/>
      </c>
      <c r="E156" s="2" t="str">
        <f aca="false">IF(Calculations!A156,Dates!I156,"")</f>
        <v/>
      </c>
      <c r="F156" s="2" t="str">
        <f aca="false">IF(Calculations!A156,Dates!J156,"")</f>
        <v/>
      </c>
      <c r="G156" s="11" t="str">
        <f aca="false">IF(Calculations!A156,Dates!K156,"")</f>
        <v/>
      </c>
      <c r="H156" s="2" t="str">
        <f aca="false">IF(Calculations!A156,Dates!H156,"")</f>
        <v/>
      </c>
      <c r="I156" s="12"/>
      <c r="J156" s="12"/>
      <c r="K156" s="2" t="n">
        <f aca="false">IF(ISNUMBER(I156),1,0)</f>
        <v>0</v>
      </c>
      <c r="L156" s="2"/>
      <c r="M156" s="28" t="str">
        <f aca="false">Calculations!I156</f>
        <v/>
      </c>
      <c r="N156" s="2" t="str">
        <f aca="false">IF(Calculations!A156,Settings!$B$5,"")</f>
        <v/>
      </c>
      <c r="O156" s="2" t="str">
        <f aca="false">Calculations!J156</f>
        <v/>
      </c>
      <c r="P156" s="2" t="str">
        <f aca="false">IF(Calculations!A156,Settings!$B$5,"")</f>
        <v/>
      </c>
      <c r="Q156" s="2" t="str">
        <f aca="false">Calculations!K156</f>
        <v/>
      </c>
      <c r="R156" s="2" t="str">
        <f aca="false">IF(Calculations!A156,Settings!$B$5,"")</f>
        <v/>
      </c>
      <c r="S156" s="2" t="str">
        <f aca="false">Calculations!L156</f>
        <v/>
      </c>
      <c r="T156" s="2" t="str">
        <f aca="false">IF(Calculations!A156,Settings!$B$5,"")</f>
        <v/>
      </c>
      <c r="U156" s="2" t="str">
        <f aca="false">Calculations!M156</f>
        <v/>
      </c>
      <c r="V156" s="2" t="str">
        <f aca="false">IF(Calculations!A156,Settings!$B$5,"")</f>
        <v/>
      </c>
      <c r="W156" s="2" t="str">
        <f aca="false">Calculations!N156</f>
        <v/>
      </c>
      <c r="X156" s="1" t="str">
        <f aca="false">Calculations!O156</f>
        <v/>
      </c>
      <c r="Y156" s="1" t="str">
        <f aca="false">IF(Calculations!P156="","",Calculations!P156)</f>
        <v/>
      </c>
    </row>
    <row r="157" customFormat="false" ht="13.8" hidden="false" customHeight="false" outlineLevel="0" collapsed="false">
      <c r="A157" s="23"/>
      <c r="B157" s="23"/>
      <c r="C157" s="2" t="str">
        <f aca="false">IF(Calculations!A157,Dates!D157,"")</f>
        <v/>
      </c>
      <c r="D157" s="2" t="str">
        <f aca="false">IF(Calculations!A157,1,"")</f>
        <v/>
      </c>
      <c r="E157" s="2" t="str">
        <f aca="false">IF(Calculations!A157,Dates!I157,"")</f>
        <v/>
      </c>
      <c r="F157" s="2" t="str">
        <f aca="false">IF(Calculations!A157,Dates!J157,"")</f>
        <v/>
      </c>
      <c r="G157" s="11" t="str">
        <f aca="false">IF(Calculations!A157,Dates!K157,"")</f>
        <v/>
      </c>
      <c r="H157" s="2" t="str">
        <f aca="false">IF(Calculations!A157,Dates!H157,"")</f>
        <v/>
      </c>
      <c r="I157" s="12"/>
      <c r="J157" s="12"/>
      <c r="K157" s="2" t="n">
        <f aca="false">IF(ISNUMBER(I157),1,0)</f>
        <v>0</v>
      </c>
      <c r="L157" s="2"/>
      <c r="M157" s="28" t="str">
        <f aca="false">Calculations!I157</f>
        <v/>
      </c>
      <c r="N157" s="2" t="str">
        <f aca="false">IF(Calculations!A157,Settings!$B$5,"")</f>
        <v/>
      </c>
      <c r="O157" s="2" t="str">
        <f aca="false">Calculations!J157</f>
        <v/>
      </c>
      <c r="P157" s="2" t="str">
        <f aca="false">IF(Calculations!A157,Settings!$B$5,"")</f>
        <v/>
      </c>
      <c r="Q157" s="2" t="str">
        <f aca="false">Calculations!K157</f>
        <v/>
      </c>
      <c r="R157" s="2" t="str">
        <f aca="false">IF(Calculations!A157,Settings!$B$5,"")</f>
        <v/>
      </c>
      <c r="S157" s="2" t="str">
        <f aca="false">Calculations!L157</f>
        <v/>
      </c>
      <c r="T157" s="2" t="str">
        <f aca="false">IF(Calculations!A157,Settings!$B$5,"")</f>
        <v/>
      </c>
      <c r="U157" s="2" t="str">
        <f aca="false">Calculations!M157</f>
        <v/>
      </c>
      <c r="V157" s="2" t="str">
        <f aca="false">IF(Calculations!A157,Settings!$B$5,"")</f>
        <v/>
      </c>
      <c r="W157" s="2" t="str">
        <f aca="false">Calculations!N157</f>
        <v/>
      </c>
      <c r="X157" s="1" t="str">
        <f aca="false">Calculations!O157</f>
        <v/>
      </c>
      <c r="Y157" s="1" t="str">
        <f aca="false">IF(Calculations!P157="","",Calculations!P157)</f>
        <v/>
      </c>
    </row>
    <row r="158" customFormat="false" ht="13.8" hidden="false" customHeight="false" outlineLevel="0" collapsed="false">
      <c r="A158" s="23"/>
      <c r="B158" s="23"/>
      <c r="C158" s="2" t="str">
        <f aca="false">IF(Calculations!A158,Dates!D158,"")</f>
        <v/>
      </c>
      <c r="D158" s="2" t="str">
        <f aca="false">IF(Calculations!A158,1,"")</f>
        <v/>
      </c>
      <c r="E158" s="2" t="str">
        <f aca="false">IF(Calculations!A158,Dates!I158,"")</f>
        <v/>
      </c>
      <c r="F158" s="2" t="str">
        <f aca="false">IF(Calculations!A158,Dates!J158,"")</f>
        <v/>
      </c>
      <c r="G158" s="11" t="str">
        <f aca="false">IF(Calculations!A158,Dates!K158,"")</f>
        <v/>
      </c>
      <c r="H158" s="2" t="str">
        <f aca="false">IF(Calculations!A158,Dates!H158,"")</f>
        <v/>
      </c>
      <c r="I158" s="12"/>
      <c r="J158" s="12"/>
      <c r="K158" s="2" t="n">
        <f aca="false">IF(ISNUMBER(I158),1,0)</f>
        <v>0</v>
      </c>
      <c r="L158" s="2"/>
      <c r="M158" s="28" t="str">
        <f aca="false">Calculations!I158</f>
        <v/>
      </c>
      <c r="N158" s="2" t="str">
        <f aca="false">IF(Calculations!A158,Settings!$B$5,"")</f>
        <v/>
      </c>
      <c r="O158" s="2" t="str">
        <f aca="false">Calculations!J158</f>
        <v/>
      </c>
      <c r="P158" s="2" t="str">
        <f aca="false">IF(Calculations!A158,Settings!$B$5,"")</f>
        <v/>
      </c>
      <c r="Q158" s="2" t="str">
        <f aca="false">Calculations!K158</f>
        <v/>
      </c>
      <c r="R158" s="2" t="str">
        <f aca="false">IF(Calculations!A158,Settings!$B$5,"")</f>
        <v/>
      </c>
      <c r="S158" s="2" t="str">
        <f aca="false">Calculations!L158</f>
        <v/>
      </c>
      <c r="T158" s="2" t="str">
        <f aca="false">IF(Calculations!A158,Settings!$B$5,"")</f>
        <v/>
      </c>
      <c r="U158" s="2" t="str">
        <f aca="false">Calculations!M158</f>
        <v/>
      </c>
      <c r="V158" s="2" t="str">
        <f aca="false">IF(Calculations!A158,Settings!$B$5,"")</f>
        <v/>
      </c>
      <c r="W158" s="2" t="str">
        <f aca="false">Calculations!N158</f>
        <v/>
      </c>
      <c r="X158" s="1" t="str">
        <f aca="false">Calculations!O158</f>
        <v/>
      </c>
      <c r="Y158" s="1" t="str">
        <f aca="false">IF(Calculations!P158="","",Calculations!P158)</f>
        <v/>
      </c>
    </row>
    <row r="159" customFormat="false" ht="13.8" hidden="false" customHeight="false" outlineLevel="0" collapsed="false">
      <c r="A159" s="23"/>
      <c r="B159" s="23"/>
      <c r="C159" s="2" t="str">
        <f aca="false">IF(Calculations!A159,Dates!D159,"")</f>
        <v/>
      </c>
      <c r="D159" s="2" t="str">
        <f aca="false">IF(Calculations!A159,1,"")</f>
        <v/>
      </c>
      <c r="E159" s="2" t="str">
        <f aca="false">IF(Calculations!A159,Dates!I159,"")</f>
        <v/>
      </c>
      <c r="F159" s="2" t="str">
        <f aca="false">IF(Calculations!A159,Dates!J159,"")</f>
        <v/>
      </c>
      <c r="G159" s="11" t="str">
        <f aca="false">IF(Calculations!A159,Dates!K159,"")</f>
        <v/>
      </c>
      <c r="H159" s="2" t="str">
        <f aca="false">IF(Calculations!A159,Dates!H159,"")</f>
        <v/>
      </c>
      <c r="I159" s="12"/>
      <c r="J159" s="12"/>
      <c r="K159" s="2" t="n">
        <f aca="false">IF(ISNUMBER(I159),1,0)</f>
        <v>0</v>
      </c>
      <c r="L159" s="2"/>
      <c r="M159" s="28" t="str">
        <f aca="false">Calculations!I159</f>
        <v/>
      </c>
      <c r="N159" s="2" t="str">
        <f aca="false">IF(Calculations!A159,Settings!$B$5,"")</f>
        <v/>
      </c>
      <c r="O159" s="2" t="str">
        <f aca="false">Calculations!J159</f>
        <v/>
      </c>
      <c r="P159" s="2" t="str">
        <f aca="false">IF(Calculations!A159,Settings!$B$5,"")</f>
        <v/>
      </c>
      <c r="Q159" s="2" t="str">
        <f aca="false">Calculations!K159</f>
        <v/>
      </c>
      <c r="R159" s="2" t="str">
        <f aca="false">IF(Calculations!A159,Settings!$B$5,"")</f>
        <v/>
      </c>
      <c r="S159" s="2" t="str">
        <f aca="false">Calculations!L159</f>
        <v/>
      </c>
      <c r="T159" s="2" t="str">
        <f aca="false">IF(Calculations!A159,Settings!$B$5,"")</f>
        <v/>
      </c>
      <c r="U159" s="2" t="str">
        <f aca="false">Calculations!M159</f>
        <v/>
      </c>
      <c r="V159" s="2" t="str">
        <f aca="false">IF(Calculations!A159,Settings!$B$5,"")</f>
        <v/>
      </c>
      <c r="W159" s="2" t="str">
        <f aca="false">Calculations!N159</f>
        <v/>
      </c>
      <c r="X159" s="1" t="str">
        <f aca="false">Calculations!O159</f>
        <v/>
      </c>
      <c r="Y159" s="1" t="str">
        <f aca="false">IF(Calculations!P159="","",Calculations!P159)</f>
        <v/>
      </c>
    </row>
    <row r="160" customFormat="false" ht="13.8" hidden="false" customHeight="false" outlineLevel="0" collapsed="false">
      <c r="A160" s="23"/>
      <c r="B160" s="23"/>
      <c r="C160" s="2" t="str">
        <f aca="false">IF(Calculations!A160,Dates!D160,"")</f>
        <v/>
      </c>
      <c r="D160" s="2" t="str">
        <f aca="false">IF(Calculations!A160,1,"")</f>
        <v/>
      </c>
      <c r="E160" s="2" t="str">
        <f aca="false">IF(Calculations!A160,Dates!I160,"")</f>
        <v/>
      </c>
      <c r="F160" s="2" t="str">
        <f aca="false">IF(Calculations!A160,Dates!J160,"")</f>
        <v/>
      </c>
      <c r="G160" s="11" t="str">
        <f aca="false">IF(Calculations!A160,Dates!K160,"")</f>
        <v/>
      </c>
      <c r="H160" s="2" t="str">
        <f aca="false">IF(Calculations!A160,Dates!H160,"")</f>
        <v/>
      </c>
      <c r="I160" s="12"/>
      <c r="J160" s="12"/>
      <c r="K160" s="2" t="n">
        <f aca="false">IF(ISNUMBER(I160),1,0)</f>
        <v>0</v>
      </c>
      <c r="L160" s="2"/>
      <c r="M160" s="28" t="str">
        <f aca="false">Calculations!I160</f>
        <v/>
      </c>
      <c r="N160" s="2" t="str">
        <f aca="false">IF(Calculations!A160,Settings!$B$5,"")</f>
        <v/>
      </c>
      <c r="O160" s="2" t="str">
        <f aca="false">Calculations!J160</f>
        <v/>
      </c>
      <c r="P160" s="2" t="str">
        <f aca="false">IF(Calculations!A160,Settings!$B$5,"")</f>
        <v/>
      </c>
      <c r="Q160" s="2" t="str">
        <f aca="false">Calculations!K160</f>
        <v/>
      </c>
      <c r="R160" s="2" t="str">
        <f aca="false">IF(Calculations!A160,Settings!$B$5,"")</f>
        <v/>
      </c>
      <c r="S160" s="2" t="str">
        <f aca="false">Calculations!L160</f>
        <v/>
      </c>
      <c r="T160" s="2" t="str">
        <f aca="false">IF(Calculations!A160,Settings!$B$5,"")</f>
        <v/>
      </c>
      <c r="U160" s="2" t="str">
        <f aca="false">Calculations!M160</f>
        <v/>
      </c>
      <c r="V160" s="2" t="str">
        <f aca="false">IF(Calculations!A160,Settings!$B$5,"")</f>
        <v/>
      </c>
      <c r="W160" s="2" t="str">
        <f aca="false">Calculations!N160</f>
        <v/>
      </c>
      <c r="X160" s="1" t="str">
        <f aca="false">Calculations!O160</f>
        <v/>
      </c>
      <c r="Y160" s="1" t="str">
        <f aca="false">IF(Calculations!P160="","",Calculations!P160)</f>
        <v/>
      </c>
    </row>
    <row r="161" customFormat="false" ht="13.8" hidden="false" customHeight="false" outlineLevel="0" collapsed="false">
      <c r="A161" s="23"/>
      <c r="B161" s="23"/>
      <c r="C161" s="2" t="str">
        <f aca="false">IF(Calculations!A161,Dates!D161,"")</f>
        <v/>
      </c>
      <c r="D161" s="2" t="str">
        <f aca="false">IF(Calculations!A161,1,"")</f>
        <v/>
      </c>
      <c r="E161" s="2" t="str">
        <f aca="false">IF(Calculations!A161,Dates!I161,"")</f>
        <v/>
      </c>
      <c r="F161" s="2" t="str">
        <f aca="false">IF(Calculations!A161,Dates!J161,"")</f>
        <v/>
      </c>
      <c r="G161" s="11" t="str">
        <f aca="false">IF(Calculations!A161,Dates!K161,"")</f>
        <v/>
      </c>
      <c r="H161" s="2" t="str">
        <f aca="false">IF(Calculations!A161,Dates!H161,"")</f>
        <v/>
      </c>
      <c r="I161" s="12"/>
      <c r="J161" s="12"/>
      <c r="K161" s="2" t="n">
        <f aca="false">IF(ISNUMBER(I161),1,0)</f>
        <v>0</v>
      </c>
      <c r="L161" s="2"/>
      <c r="M161" s="28" t="str">
        <f aca="false">Calculations!I161</f>
        <v/>
      </c>
      <c r="N161" s="2" t="str">
        <f aca="false">IF(Calculations!A161,Settings!$B$5,"")</f>
        <v/>
      </c>
      <c r="O161" s="2" t="str">
        <f aca="false">Calculations!J161</f>
        <v/>
      </c>
      <c r="P161" s="2" t="str">
        <f aca="false">IF(Calculations!A161,Settings!$B$5,"")</f>
        <v/>
      </c>
      <c r="Q161" s="2" t="str">
        <f aca="false">Calculations!K161</f>
        <v/>
      </c>
      <c r="R161" s="2" t="str">
        <f aca="false">IF(Calculations!A161,Settings!$B$5,"")</f>
        <v/>
      </c>
      <c r="S161" s="2" t="str">
        <f aca="false">Calculations!L161</f>
        <v/>
      </c>
      <c r="T161" s="2" t="str">
        <f aca="false">IF(Calculations!A161,Settings!$B$5,"")</f>
        <v/>
      </c>
      <c r="U161" s="2" t="str">
        <f aca="false">Calculations!M161</f>
        <v/>
      </c>
      <c r="V161" s="2" t="str">
        <f aca="false">IF(Calculations!A161,Settings!$B$5,"")</f>
        <v/>
      </c>
      <c r="W161" s="2" t="str">
        <f aca="false">Calculations!N161</f>
        <v/>
      </c>
      <c r="X161" s="1" t="str">
        <f aca="false">Calculations!O161</f>
        <v/>
      </c>
      <c r="Y161" s="1" t="str">
        <f aca="false">IF(Calculations!P161="","",Calculations!P161)</f>
        <v/>
      </c>
    </row>
    <row r="162" customFormat="false" ht="13.8" hidden="false" customHeight="false" outlineLevel="0" collapsed="false">
      <c r="A162" s="23"/>
      <c r="B162" s="23"/>
      <c r="C162" s="2" t="str">
        <f aca="false">IF(Calculations!A162,Dates!D162,"")</f>
        <v/>
      </c>
      <c r="D162" s="2" t="str">
        <f aca="false">IF(Calculations!A162,1,"")</f>
        <v/>
      </c>
      <c r="E162" s="2" t="str">
        <f aca="false">IF(Calculations!A162,Dates!I162,"")</f>
        <v/>
      </c>
      <c r="F162" s="2" t="str">
        <f aca="false">IF(Calculations!A162,Dates!J162,"")</f>
        <v/>
      </c>
      <c r="G162" s="11" t="str">
        <f aca="false">IF(Calculations!A162,Dates!K162,"")</f>
        <v/>
      </c>
      <c r="H162" s="2" t="str">
        <f aca="false">IF(Calculations!A162,Dates!H162,"")</f>
        <v/>
      </c>
      <c r="I162" s="12"/>
      <c r="J162" s="12"/>
      <c r="K162" s="2" t="n">
        <f aca="false">IF(ISNUMBER(I162),1,0)</f>
        <v>0</v>
      </c>
      <c r="L162" s="2"/>
      <c r="M162" s="28" t="str">
        <f aca="false">Calculations!I162</f>
        <v/>
      </c>
      <c r="N162" s="2" t="str">
        <f aca="false">IF(Calculations!A162,Settings!$B$5,"")</f>
        <v/>
      </c>
      <c r="O162" s="2" t="str">
        <f aca="false">Calculations!J162</f>
        <v/>
      </c>
      <c r="P162" s="2" t="str">
        <f aca="false">IF(Calculations!A162,Settings!$B$5,"")</f>
        <v/>
      </c>
      <c r="Q162" s="2" t="str">
        <f aca="false">Calculations!K162</f>
        <v/>
      </c>
      <c r="R162" s="2" t="str">
        <f aca="false">IF(Calculations!A162,Settings!$B$5,"")</f>
        <v/>
      </c>
      <c r="S162" s="2" t="str">
        <f aca="false">Calculations!L162</f>
        <v/>
      </c>
      <c r="T162" s="2" t="str">
        <f aca="false">IF(Calculations!A162,Settings!$B$5,"")</f>
        <v/>
      </c>
      <c r="U162" s="2" t="str">
        <f aca="false">Calculations!M162</f>
        <v/>
      </c>
      <c r="V162" s="2" t="str">
        <f aca="false">IF(Calculations!A162,Settings!$B$5,"")</f>
        <v/>
      </c>
      <c r="W162" s="2" t="str">
        <f aca="false">Calculations!N162</f>
        <v/>
      </c>
      <c r="X162" s="1" t="str">
        <f aca="false">Calculations!O162</f>
        <v/>
      </c>
      <c r="Y162" s="1" t="str">
        <f aca="false">IF(Calculations!P162="","",Calculations!P162)</f>
        <v/>
      </c>
    </row>
    <row r="163" customFormat="false" ht="13.8" hidden="false" customHeight="false" outlineLevel="0" collapsed="false">
      <c r="A163" s="23"/>
      <c r="B163" s="23"/>
      <c r="C163" s="2" t="str">
        <f aca="false">IF(Calculations!A163,Dates!D163,"")</f>
        <v/>
      </c>
      <c r="D163" s="2" t="str">
        <f aca="false">IF(Calculations!A163,1,"")</f>
        <v/>
      </c>
      <c r="E163" s="2" t="str">
        <f aca="false">IF(Calculations!A163,Dates!I163,"")</f>
        <v/>
      </c>
      <c r="F163" s="2" t="str">
        <f aca="false">IF(Calculations!A163,Dates!J163,"")</f>
        <v/>
      </c>
      <c r="G163" s="11" t="str">
        <f aca="false">IF(Calculations!A163,Dates!K163,"")</f>
        <v/>
      </c>
      <c r="H163" s="2" t="str">
        <f aca="false">IF(Calculations!A163,Dates!H163,"")</f>
        <v/>
      </c>
      <c r="I163" s="12"/>
      <c r="J163" s="12"/>
      <c r="K163" s="2" t="n">
        <f aca="false">IF(ISNUMBER(I163),1,0)</f>
        <v>0</v>
      </c>
      <c r="L163" s="2"/>
      <c r="M163" s="28" t="str">
        <f aca="false">Calculations!I163</f>
        <v/>
      </c>
      <c r="N163" s="2" t="str">
        <f aca="false">IF(Calculations!A163,Settings!$B$5,"")</f>
        <v/>
      </c>
      <c r="O163" s="2" t="str">
        <f aca="false">Calculations!J163</f>
        <v/>
      </c>
      <c r="P163" s="2" t="str">
        <f aca="false">IF(Calculations!A163,Settings!$B$5,"")</f>
        <v/>
      </c>
      <c r="Q163" s="2" t="str">
        <f aca="false">Calculations!K163</f>
        <v/>
      </c>
      <c r="R163" s="2" t="str">
        <f aca="false">IF(Calculations!A163,Settings!$B$5,"")</f>
        <v/>
      </c>
      <c r="S163" s="2" t="str">
        <f aca="false">Calculations!L163</f>
        <v/>
      </c>
      <c r="T163" s="2" t="str">
        <f aca="false">IF(Calculations!A163,Settings!$B$5,"")</f>
        <v/>
      </c>
      <c r="U163" s="2" t="str">
        <f aca="false">Calculations!M163</f>
        <v/>
      </c>
      <c r="V163" s="2" t="str">
        <f aca="false">IF(Calculations!A163,Settings!$B$5,"")</f>
        <v/>
      </c>
      <c r="W163" s="2" t="str">
        <f aca="false">Calculations!N163</f>
        <v/>
      </c>
      <c r="X163" s="1" t="str">
        <f aca="false">Calculations!O163</f>
        <v/>
      </c>
      <c r="Y163" s="1" t="str">
        <f aca="false">IF(Calculations!P163="","",Calculations!P163)</f>
        <v/>
      </c>
    </row>
    <row r="164" customFormat="false" ht="13.8" hidden="false" customHeight="false" outlineLevel="0" collapsed="false">
      <c r="A164" s="23"/>
      <c r="B164" s="23"/>
      <c r="C164" s="2" t="str">
        <f aca="false">IF(Calculations!A164,Dates!D164,"")</f>
        <v/>
      </c>
      <c r="D164" s="2" t="str">
        <f aca="false">IF(Calculations!A164,1,"")</f>
        <v/>
      </c>
      <c r="E164" s="2" t="str">
        <f aca="false">IF(Calculations!A164,Dates!I164,"")</f>
        <v/>
      </c>
      <c r="F164" s="2" t="str">
        <f aca="false">IF(Calculations!A164,Dates!J164,"")</f>
        <v/>
      </c>
      <c r="G164" s="11" t="str">
        <f aca="false">IF(Calculations!A164,Dates!K164,"")</f>
        <v/>
      </c>
      <c r="H164" s="2" t="str">
        <f aca="false">IF(Calculations!A164,Dates!H164,"")</f>
        <v/>
      </c>
      <c r="I164" s="12"/>
      <c r="J164" s="12"/>
      <c r="K164" s="2" t="n">
        <f aca="false">IF(ISNUMBER(I164),1,0)</f>
        <v>0</v>
      </c>
      <c r="L164" s="2"/>
      <c r="M164" s="28" t="str">
        <f aca="false">Calculations!I164</f>
        <v/>
      </c>
      <c r="N164" s="2" t="str">
        <f aca="false">IF(Calculations!A164,Settings!$B$5,"")</f>
        <v/>
      </c>
      <c r="O164" s="2" t="str">
        <f aca="false">Calculations!J164</f>
        <v/>
      </c>
      <c r="P164" s="2" t="str">
        <f aca="false">IF(Calculations!A164,Settings!$B$5,"")</f>
        <v/>
      </c>
      <c r="Q164" s="2" t="str">
        <f aca="false">Calculations!K164</f>
        <v/>
      </c>
      <c r="R164" s="2" t="str">
        <f aca="false">IF(Calculations!A164,Settings!$B$5,"")</f>
        <v/>
      </c>
      <c r="S164" s="2" t="str">
        <f aca="false">Calculations!L164</f>
        <v/>
      </c>
      <c r="T164" s="2" t="str">
        <f aca="false">IF(Calculations!A164,Settings!$B$5,"")</f>
        <v/>
      </c>
      <c r="U164" s="2" t="str">
        <f aca="false">Calculations!M164</f>
        <v/>
      </c>
      <c r="V164" s="2" t="str">
        <f aca="false">IF(Calculations!A164,Settings!$B$5,"")</f>
        <v/>
      </c>
      <c r="W164" s="2" t="str">
        <f aca="false">Calculations!N164</f>
        <v/>
      </c>
      <c r="X164" s="1" t="str">
        <f aca="false">Calculations!O164</f>
        <v/>
      </c>
      <c r="Y164" s="1" t="str">
        <f aca="false">IF(Calculations!P164="","",Calculations!P164)</f>
        <v/>
      </c>
    </row>
    <row r="165" customFormat="false" ht="13.8" hidden="false" customHeight="false" outlineLevel="0" collapsed="false">
      <c r="A165" s="23"/>
      <c r="B165" s="23"/>
      <c r="C165" s="2" t="str">
        <f aca="false">IF(Calculations!A165,Dates!D165,"")</f>
        <v/>
      </c>
      <c r="D165" s="2" t="str">
        <f aca="false">IF(Calculations!A165,1,"")</f>
        <v/>
      </c>
      <c r="E165" s="2" t="str">
        <f aca="false">IF(Calculations!A165,Dates!I165,"")</f>
        <v/>
      </c>
      <c r="F165" s="2" t="str">
        <f aca="false">IF(Calculations!A165,Dates!J165,"")</f>
        <v/>
      </c>
      <c r="G165" s="11" t="str">
        <f aca="false">IF(Calculations!A165,Dates!K165,"")</f>
        <v/>
      </c>
      <c r="H165" s="2" t="str">
        <f aca="false">IF(Calculations!A165,Dates!H165,"")</f>
        <v/>
      </c>
      <c r="I165" s="27"/>
      <c r="J165" s="12"/>
      <c r="K165" s="2" t="n">
        <f aca="false">IF(ISNUMBER(I165),1,0)</f>
        <v>0</v>
      </c>
      <c r="L165" s="2"/>
      <c r="M165" s="28" t="str">
        <f aca="false">Calculations!I165</f>
        <v/>
      </c>
      <c r="N165" s="2" t="str">
        <f aca="false">IF(Calculations!A165,Settings!$B$5,"")</f>
        <v/>
      </c>
      <c r="O165" s="2" t="str">
        <f aca="false">Calculations!J165</f>
        <v/>
      </c>
      <c r="P165" s="2" t="str">
        <f aca="false">IF(Calculations!A165,Settings!$B$5,"")</f>
        <v/>
      </c>
      <c r="Q165" s="2" t="str">
        <f aca="false">Calculations!K165</f>
        <v/>
      </c>
      <c r="R165" s="2" t="str">
        <f aca="false">IF(Calculations!A165,Settings!$B$5,"")</f>
        <v/>
      </c>
      <c r="S165" s="2" t="str">
        <f aca="false">Calculations!L165</f>
        <v/>
      </c>
      <c r="T165" s="2" t="str">
        <f aca="false">IF(Calculations!A165,Settings!$B$5,"")</f>
        <v/>
      </c>
      <c r="U165" s="2" t="str">
        <f aca="false">Calculations!M165</f>
        <v/>
      </c>
      <c r="V165" s="2" t="str">
        <f aca="false">IF(Calculations!A165,Settings!$B$5,"")</f>
        <v/>
      </c>
      <c r="W165" s="2" t="str">
        <f aca="false">Calculations!N165</f>
        <v/>
      </c>
      <c r="X165" s="1" t="str">
        <f aca="false">Calculations!O165</f>
        <v/>
      </c>
      <c r="Y165" s="1" t="str">
        <f aca="false">IF(Calculations!P165="","",Calculations!P165)</f>
        <v/>
      </c>
    </row>
    <row r="166" customFormat="false" ht="13.8" hidden="false" customHeight="false" outlineLevel="0" collapsed="false">
      <c r="A166" s="23"/>
      <c r="B166" s="23"/>
      <c r="C166" s="2" t="str">
        <f aca="false">IF(Calculations!A166,Dates!D166,"")</f>
        <v/>
      </c>
      <c r="D166" s="2" t="str">
        <f aca="false">IF(Calculations!A166,1,"")</f>
        <v/>
      </c>
      <c r="E166" s="2" t="str">
        <f aca="false">IF(Calculations!A166,Dates!I166,"")</f>
        <v/>
      </c>
      <c r="F166" s="2" t="str">
        <f aca="false">IF(Calculations!A166,Dates!J166,"")</f>
        <v/>
      </c>
      <c r="G166" s="11" t="str">
        <f aca="false">IF(Calculations!A166,Dates!K166,"")</f>
        <v/>
      </c>
      <c r="H166" s="2" t="str">
        <f aca="false">IF(Calculations!A166,Dates!H166,"")</f>
        <v/>
      </c>
      <c r="I166" s="27"/>
      <c r="J166" s="12"/>
      <c r="K166" s="2" t="n">
        <f aca="false">IF(ISNUMBER(I166),1,0)</f>
        <v>0</v>
      </c>
      <c r="L166" s="2"/>
      <c r="M166" s="28" t="str">
        <f aca="false">Calculations!I166</f>
        <v/>
      </c>
      <c r="N166" s="2" t="str">
        <f aca="false">IF(Calculations!A166,Settings!$B$5,"")</f>
        <v/>
      </c>
      <c r="O166" s="2" t="str">
        <f aca="false">Calculations!J166</f>
        <v/>
      </c>
      <c r="P166" s="2" t="str">
        <f aca="false">IF(Calculations!A166,Settings!$B$5,"")</f>
        <v/>
      </c>
      <c r="Q166" s="2" t="str">
        <f aca="false">Calculations!K166</f>
        <v/>
      </c>
      <c r="R166" s="2" t="str">
        <f aca="false">IF(Calculations!A166,Settings!$B$5,"")</f>
        <v/>
      </c>
      <c r="S166" s="2" t="str">
        <f aca="false">Calculations!L166</f>
        <v/>
      </c>
      <c r="T166" s="2" t="str">
        <f aca="false">IF(Calculations!A166,Settings!$B$5,"")</f>
        <v/>
      </c>
      <c r="U166" s="2" t="str">
        <f aca="false">Calculations!M166</f>
        <v/>
      </c>
      <c r="V166" s="2" t="str">
        <f aca="false">IF(Calculations!A166,Settings!$B$5,"")</f>
        <v/>
      </c>
      <c r="W166" s="2" t="str">
        <f aca="false">Calculations!N166</f>
        <v/>
      </c>
      <c r="X166" s="1" t="str">
        <f aca="false">Calculations!O166</f>
        <v/>
      </c>
      <c r="Y166" s="1" t="str">
        <f aca="false">IF(Calculations!P166="","",Calculations!P166)</f>
        <v/>
      </c>
    </row>
    <row r="167" customFormat="false" ht="13.8" hidden="false" customHeight="false" outlineLevel="0" collapsed="false">
      <c r="A167" s="23"/>
      <c r="B167" s="23"/>
      <c r="C167" s="2" t="str">
        <f aca="false">IF(Calculations!A167,Dates!D167,"")</f>
        <v/>
      </c>
      <c r="D167" s="2" t="str">
        <f aca="false">IF(Calculations!A167,1,"")</f>
        <v/>
      </c>
      <c r="E167" s="2" t="str">
        <f aca="false">IF(Calculations!A167,Dates!I167,"")</f>
        <v/>
      </c>
      <c r="F167" s="1" t="str">
        <f aca="false">IF(Calculations!A167,Dates!J167,"")</f>
        <v/>
      </c>
      <c r="G167" s="25" t="str">
        <f aca="false">IF(Calculations!A167,Dates!K167,"")</f>
        <v/>
      </c>
      <c r="H167" s="1" t="str">
        <f aca="false">IF(Calculations!A167,Dates!H167,"")</f>
        <v/>
      </c>
      <c r="I167" s="27"/>
      <c r="J167" s="12"/>
      <c r="K167" s="2" t="n">
        <f aca="false">IF(ISNUMBER(I167),1,0)</f>
        <v>0</v>
      </c>
      <c r="M167" s="2" t="str">
        <f aca="false">Calculations!I167</f>
        <v/>
      </c>
      <c r="N167" s="2" t="str">
        <f aca="false">IF(Calculations!A167,Settings!$B$5,"")</f>
        <v/>
      </c>
      <c r="O167" s="2" t="str">
        <f aca="false">Calculations!J167</f>
        <v/>
      </c>
      <c r="P167" s="2" t="str">
        <f aca="false">IF(Calculations!A167,Settings!$B$5,"")</f>
        <v/>
      </c>
      <c r="Q167" s="2" t="str">
        <f aca="false">Calculations!K167</f>
        <v/>
      </c>
      <c r="R167" s="2" t="str">
        <f aca="false">IF(Calculations!A167,Settings!$B$5,"")</f>
        <v/>
      </c>
      <c r="S167" s="2" t="str">
        <f aca="false">Calculations!L167</f>
        <v/>
      </c>
      <c r="T167" s="2" t="str">
        <f aca="false">IF(Calculations!A167,Settings!$B$5,"")</f>
        <v/>
      </c>
      <c r="U167" s="2" t="str">
        <f aca="false">Calculations!M167</f>
        <v/>
      </c>
      <c r="V167" s="2" t="str">
        <f aca="false">IF(Calculations!A167,Settings!$B$5,"")</f>
        <v/>
      </c>
      <c r="W167" s="2" t="str">
        <f aca="false">Calculations!N167</f>
        <v/>
      </c>
      <c r="X167" s="1" t="str">
        <f aca="false">Calculations!O167</f>
        <v/>
      </c>
      <c r="Y167" s="1" t="str">
        <f aca="false">IF(Calculations!P167="","",Calculations!P167)</f>
        <v/>
      </c>
    </row>
    <row r="168" customFormat="false" ht="13.8" hidden="false" customHeight="false" outlineLevel="0" collapsed="false">
      <c r="A168" s="23"/>
      <c r="B168" s="23"/>
      <c r="C168" s="2" t="str">
        <f aca="false">IF(Calculations!A168,Dates!D168,"")</f>
        <v/>
      </c>
      <c r="D168" s="2" t="str">
        <f aca="false">IF(Calculations!A168,1,"")</f>
        <v/>
      </c>
      <c r="E168" s="2" t="str">
        <f aca="false">IF(Calculations!A168,Dates!I168,"")</f>
        <v/>
      </c>
      <c r="F168" s="1" t="str">
        <f aca="false">IF(Calculations!A168,Dates!J168,"")</f>
        <v/>
      </c>
      <c r="G168" s="25" t="str">
        <f aca="false">IF(Calculations!A168,Dates!K168,"")</f>
        <v/>
      </c>
      <c r="H168" s="1" t="str">
        <f aca="false">IF(Calculations!A168,Dates!H168,"")</f>
        <v/>
      </c>
      <c r="I168" s="27"/>
      <c r="J168" s="12"/>
      <c r="K168" s="2" t="n">
        <f aca="false">IF(ISNUMBER(I168),1,0)</f>
        <v>0</v>
      </c>
      <c r="M168" s="2" t="str">
        <f aca="false">Calculations!I168</f>
        <v/>
      </c>
      <c r="N168" s="2" t="str">
        <f aca="false">IF(Calculations!A168,Settings!$B$5,"")</f>
        <v/>
      </c>
      <c r="O168" s="2" t="str">
        <f aca="false">Calculations!J168</f>
        <v/>
      </c>
      <c r="P168" s="2" t="str">
        <f aca="false">IF(Calculations!A168,Settings!$B$5,"")</f>
        <v/>
      </c>
      <c r="Q168" s="2" t="str">
        <f aca="false">Calculations!K168</f>
        <v/>
      </c>
      <c r="R168" s="2" t="str">
        <f aca="false">IF(Calculations!A168,Settings!$B$5,"")</f>
        <v/>
      </c>
      <c r="S168" s="2" t="str">
        <f aca="false">Calculations!L168</f>
        <v/>
      </c>
      <c r="T168" s="2" t="str">
        <f aca="false">IF(Calculations!A168,Settings!$B$5,"")</f>
        <v/>
      </c>
      <c r="U168" s="2" t="str">
        <f aca="false">Calculations!M168</f>
        <v/>
      </c>
      <c r="V168" s="2" t="str">
        <f aca="false">IF(Calculations!A168,Settings!$B$5,"")</f>
        <v/>
      </c>
      <c r="W168" s="2" t="str">
        <f aca="false">Calculations!N168</f>
        <v/>
      </c>
      <c r="X168" s="1" t="str">
        <f aca="false">Calculations!O168</f>
        <v/>
      </c>
      <c r="Y168" s="1" t="str">
        <f aca="false">IF(Calculations!P168="","",Calculations!P168)</f>
        <v/>
      </c>
    </row>
    <row r="169" customFormat="false" ht="13.8" hidden="false" customHeight="false" outlineLevel="0" collapsed="false">
      <c r="A169" s="23"/>
      <c r="B169" s="23"/>
      <c r="C169" s="2" t="str">
        <f aca="false">IF(Calculations!A169,Dates!D169,"")</f>
        <v/>
      </c>
      <c r="D169" s="2" t="str">
        <f aca="false">IF(Calculations!A169,1,"")</f>
        <v/>
      </c>
      <c r="E169" s="2" t="str">
        <f aca="false">IF(Calculations!A169,Dates!I169,"")</f>
        <v/>
      </c>
      <c r="F169" s="1" t="str">
        <f aca="false">IF(Calculations!A169,Dates!J169,"")</f>
        <v/>
      </c>
      <c r="G169" s="25" t="str">
        <f aca="false">IF(Calculations!A169,Dates!K169,"")</f>
        <v/>
      </c>
      <c r="H169" s="1" t="str">
        <f aca="false">IF(Calculations!A169,Dates!H169,"")</f>
        <v/>
      </c>
      <c r="I169" s="27"/>
      <c r="J169" s="12"/>
      <c r="K169" s="2" t="n">
        <f aca="false">IF(ISNUMBER(I169),1,0)</f>
        <v>0</v>
      </c>
      <c r="M169" s="2" t="str">
        <f aca="false">Calculations!I169</f>
        <v/>
      </c>
      <c r="N169" s="2" t="str">
        <f aca="false">IF(Calculations!A169,Settings!$B$5,"")</f>
        <v/>
      </c>
      <c r="O169" s="2" t="str">
        <f aca="false">Calculations!J169</f>
        <v/>
      </c>
      <c r="P169" s="2" t="str">
        <f aca="false">IF(Calculations!A169,Settings!$B$5,"")</f>
        <v/>
      </c>
      <c r="Q169" s="2" t="str">
        <f aca="false">Calculations!K169</f>
        <v/>
      </c>
      <c r="R169" s="2" t="str">
        <f aca="false">IF(Calculations!A169,Settings!$B$5,"")</f>
        <v/>
      </c>
      <c r="S169" s="2" t="str">
        <f aca="false">Calculations!L169</f>
        <v/>
      </c>
      <c r="T169" s="2" t="str">
        <f aca="false">IF(Calculations!A169,Settings!$B$5,"")</f>
        <v/>
      </c>
      <c r="U169" s="2" t="str">
        <f aca="false">Calculations!M169</f>
        <v/>
      </c>
      <c r="V169" s="2" t="str">
        <f aca="false">IF(Calculations!A169,Settings!$B$5,"")</f>
        <v/>
      </c>
      <c r="W169" s="2" t="str">
        <f aca="false">Calculations!N169</f>
        <v/>
      </c>
      <c r="X169" s="1" t="str">
        <f aca="false">Calculations!O169</f>
        <v/>
      </c>
      <c r="Y169" s="1" t="str">
        <f aca="false">IF(Calculations!P169="","",Calculations!P169)</f>
        <v/>
      </c>
    </row>
    <row r="170" customFormat="false" ht="13.8" hidden="false" customHeight="false" outlineLevel="0" collapsed="false">
      <c r="A170" s="23"/>
      <c r="B170" s="23"/>
      <c r="C170" s="2" t="str">
        <f aca="false">IF(Calculations!A170,Dates!D170,"")</f>
        <v/>
      </c>
      <c r="D170" s="2" t="str">
        <f aca="false">IF(Calculations!A170,1,"")</f>
        <v/>
      </c>
      <c r="E170" s="2" t="str">
        <f aca="false">IF(Calculations!A170,Dates!I170,"")</f>
        <v/>
      </c>
      <c r="F170" s="1" t="str">
        <f aca="false">IF(Calculations!A170,Dates!J170,"")</f>
        <v/>
      </c>
      <c r="G170" s="25" t="str">
        <f aca="false">IF(Calculations!A170,Dates!K170,"")</f>
        <v/>
      </c>
      <c r="H170" s="1" t="str">
        <f aca="false">IF(Calculations!A170,Dates!H170,"")</f>
        <v/>
      </c>
      <c r="I170" s="12"/>
      <c r="J170" s="12"/>
      <c r="K170" s="2" t="n">
        <f aca="false">IF(ISNUMBER(I170),1,0)</f>
        <v>0</v>
      </c>
      <c r="L170" s="2"/>
      <c r="M170" s="2" t="str">
        <f aca="false">Calculations!I170</f>
        <v/>
      </c>
      <c r="N170" s="2" t="str">
        <f aca="false">IF(Calculations!A170,Settings!$B$5,"")</f>
        <v/>
      </c>
      <c r="O170" s="2" t="str">
        <f aca="false">Calculations!J170</f>
        <v/>
      </c>
      <c r="P170" s="2" t="str">
        <f aca="false">IF(Calculations!A170,Settings!$B$5,"")</f>
        <v/>
      </c>
      <c r="Q170" s="2" t="str">
        <f aca="false">Calculations!K170</f>
        <v/>
      </c>
      <c r="R170" s="2" t="str">
        <f aca="false">IF(Calculations!A170,Settings!$B$5,"")</f>
        <v/>
      </c>
      <c r="S170" s="2" t="str">
        <f aca="false">Calculations!L170</f>
        <v/>
      </c>
      <c r="T170" s="2" t="str">
        <f aca="false">IF(Calculations!A170,Settings!$B$5,"")</f>
        <v/>
      </c>
      <c r="U170" s="2" t="str">
        <f aca="false">Calculations!M170</f>
        <v/>
      </c>
      <c r="V170" s="2" t="str">
        <f aca="false">IF(Calculations!A170,Settings!$B$5,"")</f>
        <v/>
      </c>
      <c r="W170" s="2" t="str">
        <f aca="false">Calculations!N170</f>
        <v/>
      </c>
      <c r="X170" s="1" t="str">
        <f aca="false">Calculations!O170</f>
        <v/>
      </c>
      <c r="Y170" s="1" t="str">
        <f aca="false">IF(Calculations!P170="","",Calculations!P170)</f>
        <v/>
      </c>
    </row>
    <row r="171" customFormat="false" ht="13.8" hidden="false" customHeight="false" outlineLevel="0" collapsed="false">
      <c r="A171" s="23"/>
      <c r="B171" s="23"/>
      <c r="C171" s="2" t="str">
        <f aca="false">IF(Calculations!A171,Dates!D171,"")</f>
        <v/>
      </c>
      <c r="D171" s="2" t="str">
        <f aca="false">IF(Calculations!A171,1,"")</f>
        <v/>
      </c>
      <c r="E171" s="2" t="str">
        <f aca="false">IF(Calculations!A171,Dates!I171,"")</f>
        <v/>
      </c>
      <c r="F171" s="1" t="str">
        <f aca="false">IF(Calculations!A171,Dates!J171,"")</f>
        <v/>
      </c>
      <c r="G171" s="11" t="str">
        <f aca="false">IF(Calculations!A171,Dates!K171,"")</f>
        <v/>
      </c>
      <c r="H171" s="2" t="str">
        <f aca="false">IF(Calculations!A171,Dates!H171,"")</f>
        <v/>
      </c>
      <c r="I171" s="12"/>
      <c r="J171" s="12"/>
      <c r="K171" s="2" t="n">
        <f aca="false">IF(ISNUMBER(I171),1,0)</f>
        <v>0</v>
      </c>
      <c r="L171" s="2"/>
      <c r="M171" s="2" t="str">
        <f aca="false">Calculations!I171</f>
        <v/>
      </c>
      <c r="N171" s="2" t="str">
        <f aca="false">IF(Calculations!A171,Settings!$B$5,"")</f>
        <v/>
      </c>
      <c r="O171" s="2" t="str">
        <f aca="false">Calculations!J171</f>
        <v/>
      </c>
      <c r="P171" s="2" t="str">
        <f aca="false">IF(Calculations!A171,Settings!$B$5,"")</f>
        <v/>
      </c>
      <c r="Q171" s="2" t="str">
        <f aca="false">Calculations!K171</f>
        <v/>
      </c>
      <c r="R171" s="2" t="str">
        <f aca="false">IF(Calculations!A171,Settings!$B$5,"")</f>
        <v/>
      </c>
      <c r="S171" s="2" t="str">
        <f aca="false">Calculations!L171</f>
        <v/>
      </c>
      <c r="T171" s="2" t="str">
        <f aca="false">IF(Calculations!A171,Settings!$B$5,"")</f>
        <v/>
      </c>
      <c r="U171" s="2" t="str">
        <f aca="false">Calculations!M171</f>
        <v/>
      </c>
      <c r="V171" s="2" t="str">
        <f aca="false">IF(Calculations!A171,Settings!$B$5,"")</f>
        <v/>
      </c>
      <c r="W171" s="2" t="str">
        <f aca="false">Calculations!N171</f>
        <v/>
      </c>
      <c r="X171" s="1" t="str">
        <f aca="false">Calculations!O171</f>
        <v/>
      </c>
      <c r="Y171" s="1" t="str">
        <f aca="false">IF(Calculations!P171="","",Calculations!P171)</f>
        <v/>
      </c>
    </row>
    <row r="172" customFormat="false" ht="13.8" hidden="false" customHeight="false" outlineLevel="0" collapsed="false">
      <c r="A172" s="23"/>
      <c r="B172" s="23"/>
      <c r="C172" s="2" t="str">
        <f aca="false">IF(Calculations!A172,Dates!D172,"")</f>
        <v/>
      </c>
      <c r="D172" s="2" t="str">
        <f aca="false">IF(Calculations!A172,1,"")</f>
        <v/>
      </c>
      <c r="E172" s="2" t="str">
        <f aca="false">IF(Calculations!A172,Dates!I172,"")</f>
        <v/>
      </c>
      <c r="F172" s="1" t="str">
        <f aca="false">IF(Calculations!A172,Dates!J172,"")</f>
        <v/>
      </c>
      <c r="G172" s="11" t="str">
        <f aca="false">IF(Calculations!A172,Dates!K172,"")</f>
        <v/>
      </c>
      <c r="H172" s="2" t="str">
        <f aca="false">IF(Calculations!A172,Dates!H172,"")</f>
        <v/>
      </c>
      <c r="I172" s="12"/>
      <c r="J172" s="12"/>
      <c r="K172" s="2" t="n">
        <f aca="false">IF(ISNUMBER(I172),1,0)</f>
        <v>0</v>
      </c>
      <c r="L172" s="2"/>
      <c r="M172" s="2" t="str">
        <f aca="false">Calculations!I172</f>
        <v/>
      </c>
      <c r="N172" s="2" t="str">
        <f aca="false">IF(Calculations!A172,Settings!$B$5,"")</f>
        <v/>
      </c>
      <c r="O172" s="2" t="str">
        <f aca="false">Calculations!J172</f>
        <v/>
      </c>
      <c r="P172" s="2" t="str">
        <f aca="false">IF(Calculations!A172,Settings!$B$5,"")</f>
        <v/>
      </c>
      <c r="Q172" s="2" t="str">
        <f aca="false">Calculations!K172</f>
        <v/>
      </c>
      <c r="R172" s="2" t="str">
        <f aca="false">IF(Calculations!A172,Settings!$B$5,"")</f>
        <v/>
      </c>
      <c r="S172" s="2" t="str">
        <f aca="false">Calculations!L172</f>
        <v/>
      </c>
      <c r="T172" s="2" t="str">
        <f aca="false">IF(Calculations!A172,Settings!$B$5,"")</f>
        <v/>
      </c>
      <c r="U172" s="2" t="str">
        <f aca="false">Calculations!M172</f>
        <v/>
      </c>
      <c r="V172" s="2" t="str">
        <f aca="false">IF(Calculations!A172,Settings!$B$5,"")</f>
        <v/>
      </c>
      <c r="W172" s="2" t="str">
        <f aca="false">Calculations!N172</f>
        <v/>
      </c>
      <c r="X172" s="1" t="str">
        <f aca="false">Calculations!O172</f>
        <v/>
      </c>
      <c r="Y172" s="1" t="str">
        <f aca="false">IF(Calculations!P172="","",Calculations!P172)</f>
        <v/>
      </c>
    </row>
    <row r="173" customFormat="false" ht="13.8" hidden="false" customHeight="false" outlineLevel="0" collapsed="false">
      <c r="A173" s="23"/>
      <c r="B173" s="23"/>
      <c r="C173" s="2" t="str">
        <f aca="false">IF(Calculations!A173,Dates!D173,"")</f>
        <v/>
      </c>
      <c r="D173" s="2" t="str">
        <f aca="false">IF(Calculations!A173,1,"")</f>
        <v/>
      </c>
      <c r="E173" s="2" t="str">
        <f aca="false">IF(Calculations!A173,Dates!I173,"")</f>
        <v/>
      </c>
      <c r="F173" s="1" t="str">
        <f aca="false">IF(Calculations!A173,Dates!J173,"")</f>
        <v/>
      </c>
      <c r="G173" s="11" t="str">
        <f aca="false">IF(Calculations!A173,Dates!K173,"")</f>
        <v/>
      </c>
      <c r="H173" s="2" t="str">
        <f aca="false">IF(Calculations!A173,Dates!H173,"")</f>
        <v/>
      </c>
      <c r="I173" s="12"/>
      <c r="J173" s="12"/>
      <c r="K173" s="2" t="n">
        <f aca="false">IF(ISNUMBER(I173),1,0)</f>
        <v>0</v>
      </c>
      <c r="L173" s="2"/>
      <c r="M173" s="2" t="str">
        <f aca="false">Calculations!I173</f>
        <v/>
      </c>
      <c r="N173" s="2" t="str">
        <f aca="false">IF(Calculations!A173,Settings!$B$5,"")</f>
        <v/>
      </c>
      <c r="O173" s="2" t="str">
        <f aca="false">Calculations!J173</f>
        <v/>
      </c>
      <c r="P173" s="2" t="str">
        <f aca="false">IF(Calculations!A173,Settings!$B$5,"")</f>
        <v/>
      </c>
      <c r="Q173" s="2" t="str">
        <f aca="false">Calculations!K173</f>
        <v/>
      </c>
      <c r="R173" s="2" t="str">
        <f aca="false">IF(Calculations!A173,Settings!$B$5,"")</f>
        <v/>
      </c>
      <c r="S173" s="2" t="str">
        <f aca="false">Calculations!L173</f>
        <v/>
      </c>
      <c r="T173" s="2" t="str">
        <f aca="false">IF(Calculations!A173,Settings!$B$5,"")</f>
        <v/>
      </c>
      <c r="U173" s="2" t="str">
        <f aca="false">Calculations!M173</f>
        <v/>
      </c>
      <c r="V173" s="2" t="str">
        <f aca="false">IF(Calculations!A173,Settings!$B$5,"")</f>
        <v/>
      </c>
      <c r="W173" s="2" t="str">
        <f aca="false">Calculations!N173</f>
        <v/>
      </c>
      <c r="X173" s="1" t="str">
        <f aca="false">Calculations!O173</f>
        <v/>
      </c>
      <c r="Y173" s="1" t="str">
        <f aca="false">IF(Calculations!P173="","",Calculations!P173)</f>
        <v/>
      </c>
    </row>
    <row r="174" customFormat="false" ht="13.8" hidden="false" customHeight="false" outlineLevel="0" collapsed="false">
      <c r="A174" s="23"/>
      <c r="B174" s="23"/>
      <c r="C174" s="2" t="str">
        <f aca="false">IF(Calculations!A174,Dates!D174,"")</f>
        <v/>
      </c>
      <c r="D174" s="2" t="str">
        <f aca="false">IF(Calculations!A174,1,"")</f>
        <v/>
      </c>
      <c r="E174" s="2" t="str">
        <f aca="false">IF(Calculations!A174,Dates!I174,"")</f>
        <v/>
      </c>
      <c r="F174" s="1" t="str">
        <f aca="false">IF(Calculations!A174,Dates!J174,"")</f>
        <v/>
      </c>
      <c r="G174" s="11" t="str">
        <f aca="false">IF(Calculations!A174,Dates!K174,"")</f>
        <v/>
      </c>
      <c r="H174" s="2" t="str">
        <f aca="false">IF(Calculations!A174,Dates!H174,"")</f>
        <v/>
      </c>
      <c r="I174" s="12"/>
      <c r="J174" s="12"/>
      <c r="K174" s="2" t="n">
        <f aca="false">IF(ISNUMBER(I174),1,0)</f>
        <v>0</v>
      </c>
      <c r="L174" s="2"/>
      <c r="M174" s="2" t="str">
        <f aca="false">Calculations!I174</f>
        <v/>
      </c>
      <c r="N174" s="2" t="str">
        <f aca="false">IF(Calculations!A174,Settings!$B$5,"")</f>
        <v/>
      </c>
      <c r="O174" s="2" t="str">
        <f aca="false">Calculations!J174</f>
        <v/>
      </c>
      <c r="P174" s="2" t="str">
        <f aca="false">IF(Calculations!A174,Settings!$B$5,"")</f>
        <v/>
      </c>
      <c r="Q174" s="2" t="str">
        <f aca="false">Calculations!K174</f>
        <v/>
      </c>
      <c r="R174" s="2" t="str">
        <f aca="false">IF(Calculations!A174,Settings!$B$5,"")</f>
        <v/>
      </c>
      <c r="S174" s="2" t="str">
        <f aca="false">Calculations!L174</f>
        <v/>
      </c>
      <c r="T174" s="2" t="str">
        <f aca="false">IF(Calculations!A174,Settings!$B$5,"")</f>
        <v/>
      </c>
      <c r="U174" s="2" t="str">
        <f aca="false">Calculations!M174</f>
        <v/>
      </c>
      <c r="V174" s="2" t="str">
        <f aca="false">IF(Calculations!A174,Settings!$B$5,"")</f>
        <v/>
      </c>
      <c r="W174" s="2" t="str">
        <f aca="false">Calculations!N174</f>
        <v/>
      </c>
      <c r="X174" s="1" t="str">
        <f aca="false">Calculations!O174</f>
        <v/>
      </c>
      <c r="Y174" s="1" t="str">
        <f aca="false">IF(Calculations!P174="","",Calculations!P174)</f>
        <v/>
      </c>
    </row>
    <row r="175" customFormat="false" ht="13.8" hidden="false" customHeight="false" outlineLevel="0" collapsed="false">
      <c r="A175" s="23"/>
      <c r="B175" s="23"/>
      <c r="C175" s="2" t="str">
        <f aca="false">IF(Calculations!A175,Dates!D175,"")</f>
        <v/>
      </c>
      <c r="D175" s="2" t="str">
        <f aca="false">IF(Calculations!A175,1,"")</f>
        <v/>
      </c>
      <c r="E175" s="2" t="str">
        <f aca="false">IF(Calculations!A175,Dates!I175,"")</f>
        <v/>
      </c>
      <c r="F175" s="1" t="str">
        <f aca="false">IF(Calculations!A175,Dates!J175,"")</f>
        <v/>
      </c>
      <c r="G175" s="11" t="str">
        <f aca="false">IF(Calculations!A175,Dates!K175,"")</f>
        <v/>
      </c>
      <c r="H175" s="2" t="str">
        <f aca="false">IF(Calculations!A175,Dates!H175,"")</f>
        <v/>
      </c>
      <c r="I175" s="12"/>
      <c r="J175" s="12"/>
      <c r="K175" s="2" t="n">
        <f aca="false">IF(ISNUMBER(I175),1,0)</f>
        <v>0</v>
      </c>
      <c r="L175" s="2"/>
      <c r="M175" s="2" t="str">
        <f aca="false">Calculations!I175</f>
        <v/>
      </c>
      <c r="N175" s="2" t="str">
        <f aca="false">IF(Calculations!A175,Settings!$B$5,"")</f>
        <v/>
      </c>
      <c r="O175" s="2" t="str">
        <f aca="false">Calculations!J175</f>
        <v/>
      </c>
      <c r="P175" s="2" t="str">
        <f aca="false">IF(Calculations!A175,Settings!$B$5,"")</f>
        <v/>
      </c>
      <c r="Q175" s="2" t="str">
        <f aca="false">Calculations!K175</f>
        <v/>
      </c>
      <c r="R175" s="2" t="str">
        <f aca="false">IF(Calculations!A175,Settings!$B$5,"")</f>
        <v/>
      </c>
      <c r="S175" s="2" t="str">
        <f aca="false">Calculations!L175</f>
        <v/>
      </c>
      <c r="T175" s="2" t="str">
        <f aca="false">IF(Calculations!A175,Settings!$B$5,"")</f>
        <v/>
      </c>
      <c r="U175" s="2" t="str">
        <f aca="false">Calculations!M175</f>
        <v/>
      </c>
      <c r="V175" s="2" t="str">
        <f aca="false">IF(Calculations!A175,Settings!$B$5,"")</f>
        <v/>
      </c>
      <c r="W175" s="2" t="str">
        <f aca="false">Calculations!N175</f>
        <v/>
      </c>
      <c r="X175" s="1" t="str">
        <f aca="false">Calculations!O175</f>
        <v/>
      </c>
      <c r="Y175" s="1" t="str">
        <f aca="false">IF(Calculations!P175="","",Calculations!P175)</f>
        <v/>
      </c>
    </row>
    <row r="176" customFormat="false" ht="13.8" hidden="false" customHeight="false" outlineLevel="0" collapsed="false">
      <c r="A176" s="23"/>
      <c r="B176" s="23"/>
      <c r="C176" s="2" t="str">
        <f aca="false">IF(Calculations!A176,Dates!D176,"")</f>
        <v/>
      </c>
      <c r="D176" s="2" t="str">
        <f aca="false">IF(Calculations!A176,1,"")</f>
        <v/>
      </c>
      <c r="E176" s="2" t="str">
        <f aca="false">IF(Calculations!A176,Dates!I176,"")</f>
        <v/>
      </c>
      <c r="F176" s="1" t="str">
        <f aca="false">IF(Calculations!A176,Dates!J176,"")</f>
        <v/>
      </c>
      <c r="G176" s="11" t="str">
        <f aca="false">IF(Calculations!A176,Dates!K176,"")</f>
        <v/>
      </c>
      <c r="H176" s="2" t="str">
        <f aca="false">IF(Calculations!A176,Dates!H176,"")</f>
        <v/>
      </c>
      <c r="I176" s="12"/>
      <c r="J176" s="12"/>
      <c r="K176" s="2" t="n">
        <f aca="false">IF(ISNUMBER(I176),1,0)</f>
        <v>0</v>
      </c>
      <c r="L176" s="2"/>
      <c r="M176" s="2" t="str">
        <f aca="false">Calculations!I176</f>
        <v/>
      </c>
      <c r="N176" s="2" t="str">
        <f aca="false">IF(Calculations!A176,Settings!$B$5,"")</f>
        <v/>
      </c>
      <c r="O176" s="2" t="str">
        <f aca="false">Calculations!J176</f>
        <v/>
      </c>
      <c r="P176" s="2" t="str">
        <f aca="false">IF(Calculations!A176,Settings!$B$5,"")</f>
        <v/>
      </c>
      <c r="Q176" s="2" t="str">
        <f aca="false">Calculations!K176</f>
        <v/>
      </c>
      <c r="R176" s="2" t="str">
        <f aca="false">IF(Calculations!A176,Settings!$B$5,"")</f>
        <v/>
      </c>
      <c r="S176" s="2" t="str">
        <f aca="false">Calculations!L176</f>
        <v/>
      </c>
      <c r="T176" s="2" t="str">
        <f aca="false">IF(Calculations!A176,Settings!$B$5,"")</f>
        <v/>
      </c>
      <c r="U176" s="2" t="str">
        <f aca="false">Calculations!M176</f>
        <v/>
      </c>
      <c r="V176" s="2" t="str">
        <f aca="false">IF(Calculations!A176,Settings!$B$5,"")</f>
        <v/>
      </c>
      <c r="W176" s="2" t="str">
        <f aca="false">Calculations!N176</f>
        <v/>
      </c>
      <c r="X176" s="1" t="str">
        <f aca="false">Calculations!O176</f>
        <v/>
      </c>
      <c r="Y176" s="1" t="str">
        <f aca="false">IF(Calculations!P176="","",Calculations!P176)</f>
        <v/>
      </c>
    </row>
    <row r="177" customFormat="false" ht="13.8" hidden="false" customHeight="false" outlineLevel="0" collapsed="false">
      <c r="A177" s="23"/>
      <c r="B177" s="23"/>
      <c r="C177" s="2" t="str">
        <f aca="false">IF(Calculations!A177,Dates!D177,"")</f>
        <v/>
      </c>
      <c r="D177" s="2" t="str">
        <f aca="false">IF(Calculations!A177,1,"")</f>
        <v/>
      </c>
      <c r="E177" s="2" t="str">
        <f aca="false">IF(Calculations!A177,Dates!I177,"")</f>
        <v/>
      </c>
      <c r="F177" s="1" t="str">
        <f aca="false">IF(Calculations!A177,Dates!J177,"")</f>
        <v/>
      </c>
      <c r="G177" s="11" t="str">
        <f aca="false">IF(Calculations!A177,Dates!K177,"")</f>
        <v/>
      </c>
      <c r="H177" s="2" t="str">
        <f aca="false">IF(Calculations!A177,Dates!H177,"")</f>
        <v/>
      </c>
      <c r="I177" s="12"/>
      <c r="J177" s="12"/>
      <c r="K177" s="2" t="n">
        <f aca="false">IF(ISNUMBER(I177),1,0)</f>
        <v>0</v>
      </c>
      <c r="L177" s="2"/>
      <c r="M177" s="2" t="str">
        <f aca="false">Calculations!I177</f>
        <v/>
      </c>
      <c r="N177" s="2" t="str">
        <f aca="false">IF(Calculations!A177,Settings!$B$5,"")</f>
        <v/>
      </c>
      <c r="O177" s="2" t="str">
        <f aca="false">Calculations!J177</f>
        <v/>
      </c>
      <c r="P177" s="2" t="str">
        <f aca="false">IF(Calculations!A177,Settings!$B$5,"")</f>
        <v/>
      </c>
      <c r="Q177" s="2" t="str">
        <f aca="false">Calculations!K177</f>
        <v/>
      </c>
      <c r="R177" s="2" t="str">
        <f aca="false">IF(Calculations!A177,Settings!$B$5,"")</f>
        <v/>
      </c>
      <c r="S177" s="2" t="str">
        <f aca="false">Calculations!L177</f>
        <v/>
      </c>
      <c r="T177" s="2" t="str">
        <f aca="false">IF(Calculations!A177,Settings!$B$5,"")</f>
        <v/>
      </c>
      <c r="U177" s="2" t="str">
        <f aca="false">Calculations!M177</f>
        <v/>
      </c>
      <c r="V177" s="2" t="str">
        <f aca="false">IF(Calculations!A177,Settings!$B$5,"")</f>
        <v/>
      </c>
      <c r="W177" s="2" t="str">
        <f aca="false">Calculations!N177</f>
        <v/>
      </c>
      <c r="X177" s="1" t="str">
        <f aca="false">Calculations!O177</f>
        <v/>
      </c>
      <c r="Y177" s="1" t="str">
        <f aca="false">IF(Calculations!P177="","",Calculations!P177)</f>
        <v/>
      </c>
    </row>
    <row r="178" customFormat="false" ht="13.8" hidden="false" customHeight="false" outlineLevel="0" collapsed="false">
      <c r="A178" s="23"/>
      <c r="B178" s="23"/>
      <c r="C178" s="2" t="str">
        <f aca="false">IF(Calculations!A178,Dates!D178,"")</f>
        <v/>
      </c>
      <c r="D178" s="2" t="str">
        <f aca="false">IF(Calculations!A178,1,"")</f>
        <v/>
      </c>
      <c r="E178" s="2" t="str">
        <f aca="false">IF(Calculations!A178,Dates!I178,"")</f>
        <v/>
      </c>
      <c r="F178" s="1" t="str">
        <f aca="false">IF(Calculations!A178,Dates!J178,"")</f>
        <v/>
      </c>
      <c r="G178" s="11" t="str">
        <f aca="false">IF(Calculations!A178,Dates!K178,"")</f>
        <v/>
      </c>
      <c r="H178" s="2" t="str">
        <f aca="false">IF(Calculations!A178,Dates!H178,"")</f>
        <v/>
      </c>
      <c r="I178" s="12"/>
      <c r="J178" s="12"/>
      <c r="K178" s="2" t="n">
        <f aca="false">IF(ISNUMBER(I178),1,0)</f>
        <v>0</v>
      </c>
      <c r="L178" s="2"/>
      <c r="M178" s="2" t="str">
        <f aca="false">Calculations!I178</f>
        <v/>
      </c>
      <c r="N178" s="2" t="str">
        <f aca="false">IF(Calculations!A178,Settings!$B$5,"")</f>
        <v/>
      </c>
      <c r="O178" s="2" t="str">
        <f aca="false">Calculations!J178</f>
        <v/>
      </c>
      <c r="P178" s="2" t="str">
        <f aca="false">IF(Calculations!A178,Settings!$B$5,"")</f>
        <v/>
      </c>
      <c r="Q178" s="2" t="str">
        <f aca="false">Calculations!K178</f>
        <v/>
      </c>
      <c r="R178" s="2" t="str">
        <f aca="false">IF(Calculations!A178,Settings!$B$5,"")</f>
        <v/>
      </c>
      <c r="S178" s="2" t="str">
        <f aca="false">Calculations!L178</f>
        <v/>
      </c>
      <c r="T178" s="2" t="str">
        <f aca="false">IF(Calculations!A178,Settings!$B$5,"")</f>
        <v/>
      </c>
      <c r="U178" s="2" t="str">
        <f aca="false">Calculations!M178</f>
        <v/>
      </c>
      <c r="V178" s="2" t="str">
        <f aca="false">IF(Calculations!A178,Settings!$B$5,"")</f>
        <v/>
      </c>
      <c r="W178" s="2" t="str">
        <f aca="false">Calculations!N178</f>
        <v/>
      </c>
      <c r="X178" s="1" t="str">
        <f aca="false">Calculations!O178</f>
        <v/>
      </c>
      <c r="Y178" s="1" t="str">
        <f aca="false">IF(Calculations!P178="","",Calculations!P178)</f>
        <v/>
      </c>
    </row>
    <row r="179" customFormat="false" ht="13.8" hidden="false" customHeight="false" outlineLevel="0" collapsed="false">
      <c r="A179" s="23"/>
      <c r="B179" s="23"/>
      <c r="C179" s="2" t="str">
        <f aca="false">IF(Calculations!A179,Dates!D179,"")</f>
        <v/>
      </c>
      <c r="D179" s="2" t="str">
        <f aca="false">IF(Calculations!A179,1,"")</f>
        <v/>
      </c>
      <c r="E179" s="2" t="str">
        <f aca="false">IF(Calculations!A179,Dates!I179,"")</f>
        <v/>
      </c>
      <c r="F179" s="1" t="str">
        <f aca="false">IF(Calculations!A179,Dates!J179,"")</f>
        <v/>
      </c>
      <c r="G179" s="11" t="str">
        <f aca="false">IF(Calculations!A179,Dates!K179,"")</f>
        <v/>
      </c>
      <c r="H179" s="2" t="str">
        <f aca="false">IF(Calculations!A179,Dates!H179,"")</f>
        <v/>
      </c>
      <c r="I179" s="12"/>
      <c r="J179" s="12"/>
      <c r="K179" s="2" t="n">
        <f aca="false">IF(ISNUMBER(I179),1,0)</f>
        <v>0</v>
      </c>
      <c r="L179" s="2"/>
      <c r="M179" s="2" t="str">
        <f aca="false">Calculations!I179</f>
        <v/>
      </c>
      <c r="N179" s="2" t="str">
        <f aca="false">IF(Calculations!A179,Settings!$B$5,"")</f>
        <v/>
      </c>
      <c r="O179" s="2" t="str">
        <f aca="false">Calculations!J179</f>
        <v/>
      </c>
      <c r="P179" s="2" t="str">
        <f aca="false">IF(Calculations!A179,Settings!$B$5,"")</f>
        <v/>
      </c>
      <c r="Q179" s="2" t="str">
        <f aca="false">Calculations!K179</f>
        <v/>
      </c>
      <c r="R179" s="2" t="str">
        <f aca="false">IF(Calculations!A179,Settings!$B$5,"")</f>
        <v/>
      </c>
      <c r="S179" s="2" t="str">
        <f aca="false">Calculations!L179</f>
        <v/>
      </c>
      <c r="T179" s="2" t="str">
        <f aca="false">IF(Calculations!A179,Settings!$B$5,"")</f>
        <v/>
      </c>
      <c r="U179" s="2" t="str">
        <f aca="false">Calculations!M179</f>
        <v/>
      </c>
      <c r="V179" s="2" t="str">
        <f aca="false">IF(Calculations!A179,Settings!$B$5,"")</f>
        <v/>
      </c>
      <c r="W179" s="2" t="str">
        <f aca="false">Calculations!N179</f>
        <v/>
      </c>
      <c r="X179" s="1" t="str">
        <f aca="false">Calculations!O179</f>
        <v/>
      </c>
      <c r="Y179" s="1" t="str">
        <f aca="false">IF(Calculations!P179="","",Calculations!P179)</f>
        <v/>
      </c>
    </row>
    <row r="180" customFormat="false" ht="13.8" hidden="false" customHeight="false" outlineLevel="0" collapsed="false">
      <c r="A180" s="23"/>
      <c r="B180" s="23"/>
      <c r="C180" s="2" t="str">
        <f aca="false">IF(Calculations!A180,Dates!D180,"")</f>
        <v/>
      </c>
      <c r="D180" s="2" t="str">
        <f aca="false">IF(Calculations!A180,1,"")</f>
        <v/>
      </c>
      <c r="E180" s="2" t="str">
        <f aca="false">IF(Calculations!A180,Dates!I180,"")</f>
        <v/>
      </c>
      <c r="F180" s="1" t="str">
        <f aca="false">IF(Calculations!A180,Dates!J180,"")</f>
        <v/>
      </c>
      <c r="G180" s="11" t="str">
        <f aca="false">IF(Calculations!A180,Dates!K180,"")</f>
        <v/>
      </c>
      <c r="H180" s="2" t="str">
        <f aca="false">IF(Calculations!A180,Dates!H180,"")</f>
        <v/>
      </c>
      <c r="I180" s="12"/>
      <c r="J180" s="12"/>
      <c r="K180" s="2" t="n">
        <f aca="false">IF(ISNUMBER(I180),1,0)</f>
        <v>0</v>
      </c>
      <c r="L180" s="2"/>
      <c r="M180" s="2" t="str">
        <f aca="false">Calculations!I180</f>
        <v/>
      </c>
      <c r="N180" s="2" t="str">
        <f aca="false">IF(Calculations!A180,Settings!$B$5,"")</f>
        <v/>
      </c>
      <c r="O180" s="2" t="str">
        <f aca="false">Calculations!J180</f>
        <v/>
      </c>
      <c r="P180" s="2" t="str">
        <f aca="false">IF(Calculations!A180,Settings!$B$5,"")</f>
        <v/>
      </c>
      <c r="Q180" s="2" t="str">
        <f aca="false">Calculations!K180</f>
        <v/>
      </c>
      <c r="R180" s="2" t="str">
        <f aca="false">IF(Calculations!A180,Settings!$B$5,"")</f>
        <v/>
      </c>
      <c r="S180" s="2" t="str">
        <f aca="false">Calculations!L180</f>
        <v/>
      </c>
      <c r="T180" s="2" t="str">
        <f aca="false">IF(Calculations!A180,Settings!$B$5,"")</f>
        <v/>
      </c>
      <c r="U180" s="2" t="str">
        <f aca="false">Calculations!M180</f>
        <v/>
      </c>
      <c r="V180" s="2" t="str">
        <f aca="false">IF(Calculations!A180,Settings!$B$5,"")</f>
        <v/>
      </c>
      <c r="W180" s="2" t="str">
        <f aca="false">Calculations!N180</f>
        <v/>
      </c>
      <c r="X180" s="1" t="str">
        <f aca="false">Calculations!O180</f>
        <v/>
      </c>
      <c r="Y180" s="1" t="str">
        <f aca="false">IF(Calculations!P180="","",Calculations!P180)</f>
        <v/>
      </c>
    </row>
    <row r="181" customFormat="false" ht="13.8" hidden="false" customHeight="false" outlineLevel="0" collapsed="false">
      <c r="A181" s="23"/>
      <c r="B181" s="23"/>
      <c r="C181" s="2" t="str">
        <f aca="false">IF(Calculations!A181,Dates!D181,"")</f>
        <v/>
      </c>
      <c r="D181" s="2" t="str">
        <f aca="false">IF(Calculations!A181,1,"")</f>
        <v/>
      </c>
      <c r="E181" s="2" t="str">
        <f aca="false">IF(Calculations!A181,Dates!I181,"")</f>
        <v/>
      </c>
      <c r="F181" s="1" t="str">
        <f aca="false">IF(Calculations!A181,Dates!J181,"")</f>
        <v/>
      </c>
      <c r="G181" s="11" t="str">
        <f aca="false">IF(Calculations!A181,Dates!K181,"")</f>
        <v/>
      </c>
      <c r="H181" s="2" t="str">
        <f aca="false">IF(Calculations!A181,Dates!H181,"")</f>
        <v/>
      </c>
      <c r="I181" s="12"/>
      <c r="J181" s="12"/>
      <c r="K181" s="2" t="n">
        <f aca="false">IF(ISNUMBER(I181),1,0)</f>
        <v>0</v>
      </c>
      <c r="L181" s="2"/>
      <c r="M181" s="2" t="str">
        <f aca="false">Calculations!I181</f>
        <v/>
      </c>
      <c r="N181" s="2" t="str">
        <f aca="false">IF(Calculations!A181,Settings!$B$5,"")</f>
        <v/>
      </c>
      <c r="O181" s="2" t="str">
        <f aca="false">Calculations!J181</f>
        <v/>
      </c>
      <c r="P181" s="2" t="str">
        <f aca="false">IF(Calculations!A181,Settings!$B$5,"")</f>
        <v/>
      </c>
      <c r="Q181" s="2" t="str">
        <f aca="false">Calculations!K181</f>
        <v/>
      </c>
      <c r="R181" s="2" t="str">
        <f aca="false">IF(Calculations!A181,Settings!$B$5,"")</f>
        <v/>
      </c>
      <c r="S181" s="2" t="str">
        <f aca="false">Calculations!L181</f>
        <v/>
      </c>
      <c r="T181" s="2" t="str">
        <f aca="false">IF(Calculations!A181,Settings!$B$5,"")</f>
        <v/>
      </c>
      <c r="U181" s="2" t="str">
        <f aca="false">Calculations!M181</f>
        <v/>
      </c>
      <c r="V181" s="2" t="str">
        <f aca="false">IF(Calculations!A181,Settings!$B$5,"")</f>
        <v/>
      </c>
      <c r="W181" s="2" t="str">
        <f aca="false">Calculations!N181</f>
        <v/>
      </c>
      <c r="X181" s="1" t="str">
        <f aca="false">Calculations!O181</f>
        <v/>
      </c>
      <c r="Y181" s="1" t="str">
        <f aca="false">IF(Calculations!P181="","",Calculations!P181)</f>
        <v/>
      </c>
    </row>
    <row r="182" customFormat="false" ht="13.8" hidden="false" customHeight="false" outlineLevel="0" collapsed="false">
      <c r="A182" s="23"/>
      <c r="B182" s="23"/>
      <c r="C182" s="2" t="str">
        <f aca="false">IF(Calculations!A182,Dates!D182,"")</f>
        <v/>
      </c>
      <c r="D182" s="2" t="str">
        <f aca="false">IF(Calculations!A182,1,"")</f>
        <v/>
      </c>
      <c r="E182" s="2" t="str">
        <f aca="false">IF(Calculations!A182,Dates!I182,"")</f>
        <v/>
      </c>
      <c r="F182" s="1" t="str">
        <f aca="false">IF(Calculations!A182,Dates!J182,"")</f>
        <v/>
      </c>
      <c r="G182" s="11" t="str">
        <f aca="false">IF(Calculations!A182,Dates!K182,"")</f>
        <v/>
      </c>
      <c r="H182" s="2" t="str">
        <f aca="false">IF(Calculations!A182,Dates!H182,"")</f>
        <v/>
      </c>
      <c r="I182" s="12"/>
      <c r="J182" s="12"/>
      <c r="K182" s="2" t="n">
        <f aca="false">IF(ISNUMBER(I182),1,0)</f>
        <v>0</v>
      </c>
      <c r="L182" s="2"/>
      <c r="M182" s="2" t="str">
        <f aca="false">Calculations!I182</f>
        <v/>
      </c>
      <c r="N182" s="2" t="str">
        <f aca="false">IF(Calculations!A182,Settings!$B$5,"")</f>
        <v/>
      </c>
      <c r="O182" s="2" t="str">
        <f aca="false">Calculations!J182</f>
        <v/>
      </c>
      <c r="P182" s="2" t="str">
        <f aca="false">IF(Calculations!A182,Settings!$B$5,"")</f>
        <v/>
      </c>
      <c r="Q182" s="2" t="str">
        <f aca="false">Calculations!K182</f>
        <v/>
      </c>
      <c r="R182" s="2" t="str">
        <f aca="false">IF(Calculations!A182,Settings!$B$5,"")</f>
        <v/>
      </c>
      <c r="S182" s="2" t="str">
        <f aca="false">Calculations!L182</f>
        <v/>
      </c>
      <c r="T182" s="2" t="str">
        <f aca="false">IF(Calculations!A182,Settings!$B$5,"")</f>
        <v/>
      </c>
      <c r="U182" s="2" t="str">
        <f aca="false">Calculations!M182</f>
        <v/>
      </c>
      <c r="V182" s="2" t="str">
        <f aca="false">IF(Calculations!A182,Settings!$B$5,"")</f>
        <v/>
      </c>
      <c r="W182" s="2" t="str">
        <f aca="false">Calculations!N182</f>
        <v/>
      </c>
      <c r="X182" s="1" t="str">
        <f aca="false">Calculations!O182</f>
        <v/>
      </c>
      <c r="Y182" s="1" t="str">
        <f aca="false">IF(Calculations!P182="","",Calculations!P182)</f>
        <v/>
      </c>
    </row>
    <row r="183" customFormat="false" ht="13.8" hidden="false" customHeight="false" outlineLevel="0" collapsed="false">
      <c r="A183" s="23"/>
      <c r="B183" s="23"/>
      <c r="C183" s="2" t="str">
        <f aca="false">IF(Calculations!A183,Dates!D183,"")</f>
        <v/>
      </c>
      <c r="D183" s="2" t="str">
        <f aca="false">IF(Calculations!A183,1,"")</f>
        <v/>
      </c>
      <c r="E183" s="2" t="str">
        <f aca="false">IF(Calculations!A183,Dates!I183,"")</f>
        <v/>
      </c>
      <c r="F183" s="1" t="str">
        <f aca="false">IF(Calculations!A183,Dates!J183,"")</f>
        <v/>
      </c>
      <c r="G183" s="11" t="str">
        <f aca="false">IF(Calculations!A183,Dates!K183,"")</f>
        <v/>
      </c>
      <c r="H183" s="2" t="str">
        <f aca="false">IF(Calculations!A183,Dates!H183,"")</f>
        <v/>
      </c>
      <c r="I183" s="12"/>
      <c r="J183" s="12"/>
      <c r="K183" s="2" t="n">
        <f aca="false">IF(ISNUMBER(I183),1,0)</f>
        <v>0</v>
      </c>
      <c r="L183" s="2"/>
      <c r="M183" s="2" t="str">
        <f aca="false">Calculations!I183</f>
        <v/>
      </c>
      <c r="N183" s="2" t="str">
        <f aca="false">IF(Calculations!A183,Settings!$B$5,"")</f>
        <v/>
      </c>
      <c r="O183" s="2" t="str">
        <f aca="false">Calculations!J183</f>
        <v/>
      </c>
      <c r="P183" s="2" t="str">
        <f aca="false">IF(Calculations!A183,Settings!$B$5,"")</f>
        <v/>
      </c>
      <c r="Q183" s="2" t="str">
        <f aca="false">Calculations!K183</f>
        <v/>
      </c>
      <c r="R183" s="2" t="str">
        <f aca="false">IF(Calculations!A183,Settings!$B$5,"")</f>
        <v/>
      </c>
      <c r="S183" s="2" t="str">
        <f aca="false">Calculations!L183</f>
        <v/>
      </c>
      <c r="T183" s="2" t="str">
        <f aca="false">IF(Calculations!A183,Settings!$B$5,"")</f>
        <v/>
      </c>
      <c r="U183" s="2" t="str">
        <f aca="false">Calculations!M183</f>
        <v/>
      </c>
      <c r="V183" s="2" t="str">
        <f aca="false">IF(Calculations!A183,Settings!$B$5,"")</f>
        <v/>
      </c>
      <c r="W183" s="2" t="str">
        <f aca="false">Calculations!N183</f>
        <v/>
      </c>
      <c r="X183" s="1" t="str">
        <f aca="false">Calculations!O183</f>
        <v/>
      </c>
      <c r="Y183" s="1" t="str">
        <f aca="false">IF(Calculations!P183="","",Calculations!P183)</f>
        <v/>
      </c>
    </row>
    <row r="184" customFormat="false" ht="13.8" hidden="false" customHeight="false" outlineLevel="0" collapsed="false">
      <c r="A184" s="23"/>
      <c r="B184" s="23"/>
      <c r="C184" s="2" t="str">
        <f aca="false">IF(Calculations!A184,Dates!D184,"")</f>
        <v/>
      </c>
      <c r="D184" s="2" t="str">
        <f aca="false">IF(Calculations!A184,1,"")</f>
        <v/>
      </c>
      <c r="E184" s="2" t="str">
        <f aca="false">IF(Calculations!A184,Dates!I184,"")</f>
        <v/>
      </c>
      <c r="F184" s="1" t="str">
        <f aca="false">IF(Calculations!A184,Dates!J184,"")</f>
        <v/>
      </c>
      <c r="G184" s="11" t="str">
        <f aca="false">IF(Calculations!A184,Dates!K184,"")</f>
        <v/>
      </c>
      <c r="H184" s="2" t="str">
        <f aca="false">IF(Calculations!A184,Dates!H184,"")</f>
        <v/>
      </c>
      <c r="I184" s="12"/>
      <c r="J184" s="12"/>
      <c r="K184" s="2" t="n">
        <f aca="false">IF(ISNUMBER(I184),1,0)</f>
        <v>0</v>
      </c>
      <c r="L184" s="2"/>
      <c r="M184" s="2" t="str">
        <f aca="false">Calculations!I184</f>
        <v/>
      </c>
      <c r="N184" s="2" t="str">
        <f aca="false">IF(Calculations!A184,Settings!$B$5,"")</f>
        <v/>
      </c>
      <c r="O184" s="2" t="str">
        <f aca="false">Calculations!J184</f>
        <v/>
      </c>
      <c r="P184" s="2" t="str">
        <f aca="false">IF(Calculations!A184,Settings!$B$5,"")</f>
        <v/>
      </c>
      <c r="Q184" s="2" t="str">
        <f aca="false">Calculations!K184</f>
        <v/>
      </c>
      <c r="R184" s="2" t="str">
        <f aca="false">IF(Calculations!A184,Settings!$B$5,"")</f>
        <v/>
      </c>
      <c r="S184" s="2" t="str">
        <f aca="false">Calculations!L184</f>
        <v/>
      </c>
      <c r="T184" s="2" t="str">
        <f aca="false">IF(Calculations!A184,Settings!$B$5,"")</f>
        <v/>
      </c>
      <c r="U184" s="2" t="str">
        <f aca="false">Calculations!M184</f>
        <v/>
      </c>
      <c r="V184" s="2" t="str">
        <f aca="false">IF(Calculations!A184,Settings!$B$5,"")</f>
        <v/>
      </c>
      <c r="W184" s="2" t="str">
        <f aca="false">Calculations!N184</f>
        <v/>
      </c>
      <c r="X184" s="1" t="str">
        <f aca="false">Calculations!O184</f>
        <v/>
      </c>
      <c r="Y184" s="1" t="str">
        <f aca="false">IF(Calculations!P184="","",Calculations!P184)</f>
        <v/>
      </c>
    </row>
    <row r="185" customFormat="false" ht="13.8" hidden="false" customHeight="false" outlineLevel="0" collapsed="false">
      <c r="A185" s="23"/>
      <c r="B185" s="23"/>
      <c r="C185" s="2" t="str">
        <f aca="false">IF(Calculations!A185,Dates!D185,"")</f>
        <v/>
      </c>
      <c r="D185" s="2" t="str">
        <f aca="false">IF(Calculations!A185,1,"")</f>
        <v/>
      </c>
      <c r="E185" s="2" t="str">
        <f aca="false">IF(Calculations!A185,Dates!I185,"")</f>
        <v/>
      </c>
      <c r="F185" s="1" t="str">
        <f aca="false">IF(Calculations!A185,Dates!J185,"")</f>
        <v/>
      </c>
      <c r="G185" s="11" t="str">
        <f aca="false">IF(Calculations!A185,Dates!K185,"")</f>
        <v/>
      </c>
      <c r="H185" s="2" t="str">
        <f aca="false">IF(Calculations!A185,Dates!H185,"")</f>
        <v/>
      </c>
      <c r="I185" s="12"/>
      <c r="J185" s="12"/>
      <c r="K185" s="2" t="n">
        <f aca="false">IF(ISNUMBER(I185),1,0)</f>
        <v>0</v>
      </c>
      <c r="L185" s="2"/>
      <c r="M185" s="2" t="str">
        <f aca="false">Calculations!I185</f>
        <v/>
      </c>
      <c r="N185" s="2" t="str">
        <f aca="false">IF(Calculations!A185,Settings!$B$5,"")</f>
        <v/>
      </c>
      <c r="O185" s="2" t="str">
        <f aca="false">Calculations!J185</f>
        <v/>
      </c>
      <c r="P185" s="2" t="str">
        <f aca="false">IF(Calculations!A185,Settings!$B$5,"")</f>
        <v/>
      </c>
      <c r="Q185" s="2" t="str">
        <f aca="false">Calculations!K185</f>
        <v/>
      </c>
      <c r="R185" s="2" t="str">
        <f aca="false">IF(Calculations!A185,Settings!$B$5,"")</f>
        <v/>
      </c>
      <c r="S185" s="2" t="str">
        <f aca="false">Calculations!L185</f>
        <v/>
      </c>
      <c r="T185" s="2" t="str">
        <f aca="false">IF(Calculations!A185,Settings!$B$5,"")</f>
        <v/>
      </c>
      <c r="U185" s="2" t="str">
        <f aca="false">Calculations!M185</f>
        <v/>
      </c>
      <c r="V185" s="2" t="str">
        <f aca="false">IF(Calculations!A185,Settings!$B$5,"")</f>
        <v/>
      </c>
      <c r="W185" s="2" t="str">
        <f aca="false">Calculations!N185</f>
        <v/>
      </c>
      <c r="X185" s="1" t="str">
        <f aca="false">Calculations!O185</f>
        <v/>
      </c>
      <c r="Y185" s="1" t="str">
        <f aca="false">IF(Calculations!P185="","",Calculations!P185)</f>
        <v/>
      </c>
    </row>
    <row r="186" customFormat="false" ht="13.8" hidden="false" customHeight="false" outlineLevel="0" collapsed="false">
      <c r="A186" s="23"/>
      <c r="B186" s="23"/>
      <c r="C186" s="2" t="str">
        <f aca="false">IF(Calculations!A186,Dates!D186,"")</f>
        <v/>
      </c>
      <c r="D186" s="2" t="str">
        <f aca="false">IF(Calculations!A186,1,"")</f>
        <v/>
      </c>
      <c r="E186" s="2" t="str">
        <f aca="false">IF(Calculations!A186,Dates!I186,"")</f>
        <v/>
      </c>
      <c r="F186" s="1" t="str">
        <f aca="false">IF(Calculations!A186,Dates!J186,"")</f>
        <v/>
      </c>
      <c r="G186" s="11" t="str">
        <f aca="false">IF(Calculations!A186,Dates!K186,"")</f>
        <v/>
      </c>
      <c r="H186" s="2" t="str">
        <f aca="false">IF(Calculations!A186,Dates!H186,"")</f>
        <v/>
      </c>
      <c r="I186" s="12"/>
      <c r="J186" s="12"/>
      <c r="K186" s="2" t="n">
        <f aca="false">IF(ISNUMBER(I186),1,0)</f>
        <v>0</v>
      </c>
      <c r="L186" s="2"/>
      <c r="M186" s="2" t="str">
        <f aca="false">Calculations!I186</f>
        <v/>
      </c>
      <c r="N186" s="2" t="str">
        <f aca="false">IF(Calculations!A186,Settings!$B$5,"")</f>
        <v/>
      </c>
      <c r="O186" s="2" t="str">
        <f aca="false">Calculations!J186</f>
        <v/>
      </c>
      <c r="P186" s="2" t="str">
        <f aca="false">IF(Calculations!A186,Settings!$B$5,"")</f>
        <v/>
      </c>
      <c r="Q186" s="2" t="str">
        <f aca="false">Calculations!K186</f>
        <v/>
      </c>
      <c r="R186" s="2" t="str">
        <f aca="false">IF(Calculations!A186,Settings!$B$5,"")</f>
        <v/>
      </c>
      <c r="S186" s="2" t="str">
        <f aca="false">Calculations!L186</f>
        <v/>
      </c>
      <c r="T186" s="2" t="str">
        <f aca="false">IF(Calculations!A186,Settings!$B$5,"")</f>
        <v/>
      </c>
      <c r="U186" s="2" t="str">
        <f aca="false">Calculations!M186</f>
        <v/>
      </c>
      <c r="V186" s="2" t="str">
        <f aca="false">IF(Calculations!A186,Settings!$B$5,"")</f>
        <v/>
      </c>
      <c r="W186" s="2" t="str">
        <f aca="false">Calculations!N186</f>
        <v/>
      </c>
      <c r="X186" s="1" t="str">
        <f aca="false">Calculations!O186</f>
        <v/>
      </c>
      <c r="Y186" s="1" t="str">
        <f aca="false">IF(Calculations!P186="","",Calculations!P186)</f>
        <v/>
      </c>
    </row>
    <row r="187" customFormat="false" ht="13.8" hidden="false" customHeight="false" outlineLevel="0" collapsed="false">
      <c r="A187" s="23"/>
      <c r="B187" s="23"/>
      <c r="C187" s="2" t="str">
        <f aca="false">IF(Calculations!A187,Dates!D187,"")</f>
        <v/>
      </c>
      <c r="D187" s="2" t="str">
        <f aca="false">IF(Calculations!A187,1,"")</f>
        <v/>
      </c>
      <c r="E187" s="2" t="str">
        <f aca="false">IF(Calculations!A187,Dates!I187,"")</f>
        <v/>
      </c>
      <c r="F187" s="1" t="str">
        <f aca="false">IF(Calculations!A187,Dates!J187,"")</f>
        <v/>
      </c>
      <c r="G187" s="11" t="str">
        <f aca="false">IF(Calculations!A187,Dates!K187,"")</f>
        <v/>
      </c>
      <c r="H187" s="2" t="str">
        <f aca="false">IF(Calculations!A187,Dates!H187,"")</f>
        <v/>
      </c>
      <c r="I187" s="12"/>
      <c r="J187" s="12"/>
      <c r="K187" s="2" t="n">
        <f aca="false">IF(ISNUMBER(I187),1,0)</f>
        <v>0</v>
      </c>
      <c r="L187" s="2"/>
      <c r="M187" s="2" t="str">
        <f aca="false">Calculations!I187</f>
        <v/>
      </c>
      <c r="N187" s="2" t="str">
        <f aca="false">IF(Calculations!A187,Settings!$B$5,"")</f>
        <v/>
      </c>
      <c r="O187" s="2" t="str">
        <f aca="false">Calculations!J187</f>
        <v/>
      </c>
      <c r="P187" s="2" t="str">
        <f aca="false">IF(Calculations!A187,Settings!$B$5,"")</f>
        <v/>
      </c>
      <c r="Q187" s="2" t="str">
        <f aca="false">Calculations!K187</f>
        <v/>
      </c>
      <c r="R187" s="2" t="str">
        <f aca="false">IF(Calculations!A187,Settings!$B$5,"")</f>
        <v/>
      </c>
      <c r="S187" s="2" t="str">
        <f aca="false">Calculations!L187</f>
        <v/>
      </c>
      <c r="T187" s="2" t="str">
        <f aca="false">IF(Calculations!A187,Settings!$B$5,"")</f>
        <v/>
      </c>
      <c r="U187" s="2" t="str">
        <f aca="false">Calculations!M187</f>
        <v/>
      </c>
      <c r="V187" s="2" t="str">
        <f aca="false">IF(Calculations!A187,Settings!$B$5,"")</f>
        <v/>
      </c>
      <c r="W187" s="2" t="str">
        <f aca="false">Calculations!N187</f>
        <v/>
      </c>
      <c r="X187" s="1" t="str">
        <f aca="false">Calculations!O187</f>
        <v/>
      </c>
      <c r="Y187" s="1" t="str">
        <f aca="false">IF(Calculations!P187="","",Calculations!P187)</f>
        <v/>
      </c>
    </row>
    <row r="188" customFormat="false" ht="13.8" hidden="false" customHeight="false" outlineLevel="0" collapsed="false">
      <c r="A188" s="23"/>
      <c r="B188" s="23"/>
      <c r="C188" s="2" t="str">
        <f aca="false">IF(Calculations!A188,Dates!D188,"")</f>
        <v/>
      </c>
      <c r="D188" s="2" t="str">
        <f aca="false">IF(Calculations!A188,1,"")</f>
        <v/>
      </c>
      <c r="E188" s="2" t="str">
        <f aca="false">IF(Calculations!A188,Dates!I188,"")</f>
        <v/>
      </c>
      <c r="F188" s="1" t="str">
        <f aca="false">IF(Calculations!A188,Dates!J188,"")</f>
        <v/>
      </c>
      <c r="G188" s="25" t="str">
        <f aca="false">IF(Calculations!A188,Dates!K188,"")</f>
        <v/>
      </c>
      <c r="H188" s="1" t="str">
        <f aca="false">IF(Calculations!A188,Dates!H188,"")</f>
        <v/>
      </c>
      <c r="I188" s="27"/>
      <c r="J188" s="12"/>
      <c r="K188" s="2" t="n">
        <f aca="false">IF(ISNUMBER(I188),1,0)</f>
        <v>0</v>
      </c>
      <c r="M188" s="2" t="str">
        <f aca="false">Calculations!I188</f>
        <v/>
      </c>
      <c r="N188" s="2" t="str">
        <f aca="false">IF(Calculations!A188,Settings!$B$5,"")</f>
        <v/>
      </c>
      <c r="O188" s="2" t="str">
        <f aca="false">Calculations!J188</f>
        <v/>
      </c>
      <c r="P188" s="2" t="str">
        <f aca="false">IF(Calculations!A188,Settings!$B$5,"")</f>
        <v/>
      </c>
      <c r="Q188" s="2" t="str">
        <f aca="false">Calculations!K188</f>
        <v/>
      </c>
      <c r="R188" s="2" t="str">
        <f aca="false">IF(Calculations!A188,Settings!$B$5,"")</f>
        <v/>
      </c>
      <c r="S188" s="2" t="str">
        <f aca="false">Calculations!L188</f>
        <v/>
      </c>
      <c r="T188" s="2" t="str">
        <f aca="false">IF(Calculations!A188,Settings!$B$5,"")</f>
        <v/>
      </c>
      <c r="U188" s="2" t="str">
        <f aca="false">Calculations!M188</f>
        <v/>
      </c>
      <c r="V188" s="2" t="str">
        <f aca="false">IF(Calculations!A188,Settings!$B$5,"")</f>
        <v/>
      </c>
      <c r="W188" s="2" t="str">
        <f aca="false">Calculations!N188</f>
        <v/>
      </c>
      <c r="X188" s="1" t="str">
        <f aca="false">Calculations!O188</f>
        <v/>
      </c>
      <c r="Y188" s="1" t="str">
        <f aca="false">IF(Calculations!P188="","",Calculations!P188)</f>
        <v/>
      </c>
    </row>
    <row r="189" customFormat="false" ht="13.8" hidden="false" customHeight="false" outlineLevel="0" collapsed="false">
      <c r="A189" s="23"/>
      <c r="B189" s="23"/>
      <c r="C189" s="2" t="str">
        <f aca="false">IF(Calculations!A189,Dates!D189,"")</f>
        <v/>
      </c>
      <c r="D189" s="2" t="str">
        <f aca="false">IF(Calculations!A189,1,"")</f>
        <v/>
      </c>
      <c r="E189" s="2" t="str">
        <f aca="false">IF(Calculations!A189,Dates!I189,"")</f>
        <v/>
      </c>
      <c r="F189" s="1" t="str">
        <f aca="false">IF(Calculations!A189,Dates!J189,"")</f>
        <v/>
      </c>
      <c r="G189" s="25" t="str">
        <f aca="false">IF(Calculations!A189,Dates!K189,"")</f>
        <v/>
      </c>
      <c r="H189" s="1" t="str">
        <f aca="false">IF(Calculations!A189,Dates!H189,"")</f>
        <v/>
      </c>
      <c r="I189" s="27"/>
      <c r="J189" s="12"/>
      <c r="K189" s="2" t="n">
        <f aca="false">IF(ISNUMBER(I189),1,0)</f>
        <v>0</v>
      </c>
      <c r="M189" s="2" t="str">
        <f aca="false">Calculations!I189</f>
        <v/>
      </c>
      <c r="N189" s="2" t="str">
        <f aca="false">IF(Calculations!A189,Settings!$B$5,"")</f>
        <v/>
      </c>
      <c r="O189" s="2" t="str">
        <f aca="false">Calculations!J189</f>
        <v/>
      </c>
      <c r="P189" s="2" t="str">
        <f aca="false">IF(Calculations!A189,Settings!$B$5,"")</f>
        <v/>
      </c>
      <c r="Q189" s="2" t="str">
        <f aca="false">Calculations!K189</f>
        <v/>
      </c>
      <c r="R189" s="2" t="str">
        <f aca="false">IF(Calculations!A189,Settings!$B$5,"")</f>
        <v/>
      </c>
      <c r="S189" s="2" t="str">
        <f aca="false">Calculations!L189</f>
        <v/>
      </c>
      <c r="T189" s="2" t="str">
        <f aca="false">IF(Calculations!A189,Settings!$B$5,"")</f>
        <v/>
      </c>
      <c r="U189" s="2" t="str">
        <f aca="false">Calculations!M189</f>
        <v/>
      </c>
      <c r="V189" s="2" t="str">
        <f aca="false">IF(Calculations!A189,Settings!$B$5,"")</f>
        <v/>
      </c>
      <c r="W189" s="2" t="str">
        <f aca="false">Calculations!N189</f>
        <v/>
      </c>
      <c r="X189" s="1" t="str">
        <f aca="false">Calculations!O189</f>
        <v/>
      </c>
      <c r="Y189" s="1" t="str">
        <f aca="false">IF(Calculations!P189="","",Calculations!P189)</f>
        <v/>
      </c>
    </row>
    <row r="190" customFormat="false" ht="13.8" hidden="false" customHeight="false" outlineLevel="0" collapsed="false">
      <c r="A190" s="23"/>
      <c r="B190" s="23"/>
      <c r="C190" s="2" t="str">
        <f aca="false">IF(Calculations!A190,Dates!D190,"")</f>
        <v/>
      </c>
      <c r="D190" s="2" t="str">
        <f aca="false">IF(Calculations!A190,1,"")</f>
        <v/>
      </c>
      <c r="E190" s="2" t="str">
        <f aca="false">IF(Calculations!A190,Dates!I190,"")</f>
        <v/>
      </c>
      <c r="F190" s="1" t="str">
        <f aca="false">IF(Calculations!A190,Dates!J190,"")</f>
        <v/>
      </c>
      <c r="G190" s="25" t="str">
        <f aca="false">IF(Calculations!A190,Dates!K190,"")</f>
        <v/>
      </c>
      <c r="H190" s="1" t="str">
        <f aca="false">IF(Calculations!A190,Dates!H190,"")</f>
        <v/>
      </c>
      <c r="I190" s="27"/>
      <c r="J190" s="12"/>
      <c r="K190" s="2" t="n">
        <f aca="false">IF(ISNUMBER(I190),1,0)</f>
        <v>0</v>
      </c>
      <c r="M190" s="2" t="str">
        <f aca="false">Calculations!I190</f>
        <v/>
      </c>
      <c r="N190" s="2" t="str">
        <f aca="false">IF(Calculations!A190,Settings!$B$5,"")</f>
        <v/>
      </c>
      <c r="O190" s="2" t="str">
        <f aca="false">Calculations!J190</f>
        <v/>
      </c>
      <c r="P190" s="2" t="str">
        <f aca="false">IF(Calculations!A190,Settings!$B$5,"")</f>
        <v/>
      </c>
      <c r="Q190" s="2" t="str">
        <f aca="false">Calculations!K190</f>
        <v/>
      </c>
      <c r="R190" s="2" t="str">
        <f aca="false">IF(Calculations!A190,Settings!$B$5,"")</f>
        <v/>
      </c>
      <c r="S190" s="2" t="str">
        <f aca="false">Calculations!L190</f>
        <v/>
      </c>
      <c r="T190" s="2" t="str">
        <f aca="false">IF(Calculations!A190,Settings!$B$5,"")</f>
        <v/>
      </c>
      <c r="U190" s="2" t="str">
        <f aca="false">Calculations!M190</f>
        <v/>
      </c>
      <c r="V190" s="2" t="str">
        <f aca="false">IF(Calculations!A190,Settings!$B$5,"")</f>
        <v/>
      </c>
      <c r="W190" s="2" t="str">
        <f aca="false">Calculations!N190</f>
        <v/>
      </c>
      <c r="X190" s="1" t="str">
        <f aca="false">Calculations!O190</f>
        <v/>
      </c>
      <c r="Y190" s="1" t="str">
        <f aca="false">IF(Calculations!P190="","",Calculations!P190)</f>
        <v/>
      </c>
    </row>
    <row r="191" customFormat="false" ht="13.8" hidden="false" customHeight="false" outlineLevel="0" collapsed="false">
      <c r="A191" s="23"/>
      <c r="B191" s="23"/>
      <c r="C191" s="2" t="str">
        <f aca="false">IF(Calculations!A191,Dates!D191,"")</f>
        <v/>
      </c>
      <c r="D191" s="2" t="str">
        <f aca="false">IF(Calculations!A191,1,"")</f>
        <v/>
      </c>
      <c r="E191" s="2" t="str">
        <f aca="false">IF(Calculations!A191,Dates!I191,"")</f>
        <v/>
      </c>
      <c r="F191" s="1" t="str">
        <f aca="false">IF(Calculations!A191,Dates!J191,"")</f>
        <v/>
      </c>
      <c r="G191" s="25" t="str">
        <f aca="false">IF(Calculations!A191,Dates!K191,"")</f>
        <v/>
      </c>
      <c r="H191" s="1" t="str">
        <f aca="false">IF(Calculations!A191,Dates!H191,"")</f>
        <v/>
      </c>
      <c r="I191" s="27"/>
      <c r="J191" s="12"/>
      <c r="K191" s="2" t="n">
        <f aca="false">IF(ISNUMBER(I191),1,0)</f>
        <v>0</v>
      </c>
      <c r="M191" s="2" t="str">
        <f aca="false">Calculations!I191</f>
        <v/>
      </c>
      <c r="N191" s="2" t="str">
        <f aca="false">IF(Calculations!A191,Settings!$B$5,"")</f>
        <v/>
      </c>
      <c r="O191" s="2" t="str">
        <f aca="false">Calculations!J191</f>
        <v/>
      </c>
      <c r="P191" s="2" t="str">
        <f aca="false">IF(Calculations!A191,Settings!$B$5,"")</f>
        <v/>
      </c>
      <c r="Q191" s="2" t="str">
        <f aca="false">Calculations!K191</f>
        <v/>
      </c>
      <c r="R191" s="2" t="str">
        <f aca="false">IF(Calculations!A191,Settings!$B$5,"")</f>
        <v/>
      </c>
      <c r="S191" s="2" t="str">
        <f aca="false">Calculations!L191</f>
        <v/>
      </c>
      <c r="T191" s="2" t="str">
        <f aca="false">IF(Calculations!A191,Settings!$B$5,"")</f>
        <v/>
      </c>
      <c r="U191" s="2" t="str">
        <f aca="false">Calculations!M191</f>
        <v/>
      </c>
      <c r="V191" s="2" t="str">
        <f aca="false">IF(Calculations!A191,Settings!$B$5,"")</f>
        <v/>
      </c>
      <c r="W191" s="2" t="str">
        <f aca="false">Calculations!N191</f>
        <v/>
      </c>
      <c r="X191" s="1" t="str">
        <f aca="false">Calculations!O191</f>
        <v/>
      </c>
      <c r="Y191" s="1" t="str">
        <f aca="false">IF(Calculations!P191="","",Calculations!P191)</f>
        <v/>
      </c>
    </row>
    <row r="192" customFormat="false" ht="13.8" hidden="false" customHeight="false" outlineLevel="0" collapsed="false">
      <c r="A192" s="23"/>
      <c r="B192" s="23"/>
      <c r="C192" s="2" t="str">
        <f aca="false">IF(Calculations!A192,Dates!D192,"")</f>
        <v/>
      </c>
      <c r="D192" s="2" t="str">
        <f aca="false">IF(Calculations!A192,1,"")</f>
        <v/>
      </c>
      <c r="E192" s="2" t="str">
        <f aca="false">IF(Calculations!A192,Dates!I192,"")</f>
        <v/>
      </c>
      <c r="F192" s="1" t="str">
        <f aca="false">IF(Calculations!A192,Dates!J192,"")</f>
        <v/>
      </c>
      <c r="G192" s="25" t="str">
        <f aca="false">IF(Calculations!A192,Dates!K192,"")</f>
        <v/>
      </c>
      <c r="H192" s="1" t="str">
        <f aca="false">IF(Calculations!A192,Dates!H192,"")</f>
        <v/>
      </c>
      <c r="I192" s="27"/>
      <c r="J192" s="12"/>
      <c r="K192" s="2" t="n">
        <f aca="false">IF(ISNUMBER(I192),1,0)</f>
        <v>0</v>
      </c>
      <c r="M192" s="2" t="str">
        <f aca="false">Calculations!I192</f>
        <v/>
      </c>
      <c r="N192" s="2" t="str">
        <f aca="false">IF(Calculations!A192,Settings!$B$5,"")</f>
        <v/>
      </c>
      <c r="O192" s="2" t="str">
        <f aca="false">Calculations!J192</f>
        <v/>
      </c>
      <c r="P192" s="2" t="str">
        <f aca="false">IF(Calculations!A192,Settings!$B$5,"")</f>
        <v/>
      </c>
      <c r="Q192" s="2" t="str">
        <f aca="false">Calculations!K192</f>
        <v/>
      </c>
      <c r="R192" s="2" t="str">
        <f aca="false">IF(Calculations!A192,Settings!$B$5,"")</f>
        <v/>
      </c>
      <c r="S192" s="2" t="str">
        <f aca="false">Calculations!L192</f>
        <v/>
      </c>
      <c r="T192" s="2" t="str">
        <f aca="false">IF(Calculations!A192,Settings!$B$5,"")</f>
        <v/>
      </c>
      <c r="U192" s="2" t="str">
        <f aca="false">Calculations!M192</f>
        <v/>
      </c>
      <c r="V192" s="2" t="str">
        <f aca="false">IF(Calculations!A192,Settings!$B$5,"")</f>
        <v/>
      </c>
      <c r="W192" s="2" t="str">
        <f aca="false">Calculations!N192</f>
        <v/>
      </c>
      <c r="X192" s="1" t="str">
        <f aca="false">Calculations!O192</f>
        <v/>
      </c>
      <c r="Y192" s="1" t="str">
        <f aca="false">IF(Calculations!P192="","",Calculations!P192)</f>
        <v/>
      </c>
    </row>
    <row r="193" customFormat="false" ht="13.8" hidden="false" customHeight="false" outlineLevel="0" collapsed="false">
      <c r="A193" s="23"/>
      <c r="B193" s="23"/>
      <c r="C193" s="2" t="str">
        <f aca="false">IF(Calculations!A193,Dates!D193,"")</f>
        <v/>
      </c>
      <c r="D193" s="2" t="str">
        <f aca="false">IF(Calculations!A193,1,"")</f>
        <v/>
      </c>
      <c r="E193" s="2" t="str">
        <f aca="false">IF(Calculations!A193,Dates!I193,"")</f>
        <v/>
      </c>
      <c r="F193" s="1" t="str">
        <f aca="false">IF(Calculations!A193,Dates!J193,"")</f>
        <v/>
      </c>
      <c r="G193" s="25" t="str">
        <f aca="false">IF(Calculations!A193,Dates!K193,"")</f>
        <v/>
      </c>
      <c r="H193" s="1" t="str">
        <f aca="false">IF(Calculations!A193,Dates!H193,"")</f>
        <v/>
      </c>
      <c r="I193" s="27"/>
      <c r="J193" s="12"/>
      <c r="K193" s="2" t="n">
        <f aca="false">IF(ISNUMBER(I193),1,0)</f>
        <v>0</v>
      </c>
      <c r="M193" s="2" t="str">
        <f aca="false">Calculations!I193</f>
        <v/>
      </c>
      <c r="N193" s="2" t="str">
        <f aca="false">IF(Calculations!A193,Settings!$B$5,"")</f>
        <v/>
      </c>
      <c r="O193" s="2" t="str">
        <f aca="false">Calculations!J193</f>
        <v/>
      </c>
      <c r="P193" s="2" t="str">
        <f aca="false">IF(Calculations!A193,Settings!$B$5,"")</f>
        <v/>
      </c>
      <c r="Q193" s="2" t="str">
        <f aca="false">Calculations!K193</f>
        <v/>
      </c>
      <c r="R193" s="2" t="str">
        <f aca="false">IF(Calculations!A193,Settings!$B$5,"")</f>
        <v/>
      </c>
      <c r="S193" s="2" t="str">
        <f aca="false">Calculations!L193</f>
        <v/>
      </c>
      <c r="T193" s="2" t="str">
        <f aca="false">IF(Calculations!A193,Settings!$B$5,"")</f>
        <v/>
      </c>
      <c r="U193" s="2" t="str">
        <f aca="false">Calculations!M193</f>
        <v/>
      </c>
      <c r="V193" s="2" t="str">
        <f aca="false">IF(Calculations!A193,Settings!$B$5,"")</f>
        <v/>
      </c>
      <c r="W193" s="2" t="str">
        <f aca="false">Calculations!N193</f>
        <v/>
      </c>
      <c r="X193" s="1" t="str">
        <f aca="false">Calculations!O193</f>
        <v/>
      </c>
      <c r="Y193" s="1" t="str">
        <f aca="false">IF(Calculations!P193="","",Calculations!P193)</f>
        <v/>
      </c>
    </row>
    <row r="194" customFormat="false" ht="13.8" hidden="false" customHeight="false" outlineLevel="0" collapsed="false">
      <c r="A194" s="23"/>
      <c r="B194" s="23"/>
      <c r="C194" s="2" t="str">
        <f aca="false">IF(Calculations!A194,Dates!D194,"")</f>
        <v/>
      </c>
      <c r="D194" s="2" t="str">
        <f aca="false">IF(Calculations!A194,1,"")</f>
        <v/>
      </c>
      <c r="E194" s="2" t="str">
        <f aca="false">IF(Calculations!A194,Dates!I194,"")</f>
        <v/>
      </c>
      <c r="F194" s="1" t="str">
        <f aca="false">IF(Calculations!A194,Dates!J194,"")</f>
        <v/>
      </c>
      <c r="G194" s="25" t="str">
        <f aca="false">IF(Calculations!A194,Dates!K194,"")</f>
        <v/>
      </c>
      <c r="H194" s="1" t="str">
        <f aca="false">IF(Calculations!A194,Dates!H194,"")</f>
        <v/>
      </c>
      <c r="I194" s="27"/>
      <c r="J194" s="12"/>
      <c r="K194" s="2" t="n">
        <f aca="false">IF(ISNUMBER(I194),1,0)</f>
        <v>0</v>
      </c>
      <c r="M194" s="2" t="str">
        <f aca="false">Calculations!I194</f>
        <v/>
      </c>
      <c r="N194" s="2" t="str">
        <f aca="false">IF(Calculations!A194,Settings!$B$5,"")</f>
        <v/>
      </c>
      <c r="O194" s="2" t="str">
        <f aca="false">Calculations!J194</f>
        <v/>
      </c>
      <c r="P194" s="2" t="str">
        <f aca="false">IF(Calculations!A194,Settings!$B$5,"")</f>
        <v/>
      </c>
      <c r="Q194" s="2" t="str">
        <f aca="false">Calculations!K194</f>
        <v/>
      </c>
      <c r="R194" s="2" t="str">
        <f aca="false">IF(Calculations!A194,Settings!$B$5,"")</f>
        <v/>
      </c>
      <c r="S194" s="2" t="str">
        <f aca="false">Calculations!L194</f>
        <v/>
      </c>
      <c r="T194" s="2" t="str">
        <f aca="false">IF(Calculations!A194,Settings!$B$5,"")</f>
        <v/>
      </c>
      <c r="U194" s="2" t="str">
        <f aca="false">Calculations!M194</f>
        <v/>
      </c>
      <c r="V194" s="2" t="str">
        <f aca="false">IF(Calculations!A194,Settings!$B$5,"")</f>
        <v/>
      </c>
      <c r="W194" s="2" t="str">
        <f aca="false">Calculations!N194</f>
        <v/>
      </c>
      <c r="X194" s="1" t="str">
        <f aca="false">Calculations!O194</f>
        <v/>
      </c>
      <c r="Y194" s="1" t="str">
        <f aca="false">IF(Calculations!P194="","",Calculations!P194)</f>
        <v/>
      </c>
    </row>
    <row r="195" customFormat="false" ht="13.8" hidden="false" customHeight="false" outlineLevel="0" collapsed="false">
      <c r="A195" s="23"/>
      <c r="B195" s="23"/>
      <c r="C195" s="2" t="str">
        <f aca="false">IF(Calculations!A195,Dates!D195,"")</f>
        <v/>
      </c>
      <c r="D195" s="2" t="str">
        <f aca="false">IF(Calculations!A195,1,"")</f>
        <v/>
      </c>
      <c r="E195" s="2" t="str">
        <f aca="false">IF(Calculations!A195,Dates!I195,"")</f>
        <v/>
      </c>
      <c r="F195" s="2" t="str">
        <f aca="false">IF(Calculations!A195,Dates!J195,"")</f>
        <v/>
      </c>
      <c r="G195" s="11" t="str">
        <f aca="false">IF(Calculations!A195,Dates!K195,"")</f>
        <v/>
      </c>
      <c r="H195" s="2" t="str">
        <f aca="false">IF(Calculations!A195,Dates!H195,"")</f>
        <v/>
      </c>
      <c r="I195" s="12"/>
      <c r="J195" s="12"/>
      <c r="K195" s="2" t="n">
        <f aca="false">IF(ISNUMBER(I195),1,0)</f>
        <v>0</v>
      </c>
      <c r="L195" s="2"/>
      <c r="M195" s="2" t="str">
        <f aca="false">Calculations!I195</f>
        <v/>
      </c>
      <c r="N195" s="2" t="str">
        <f aca="false">IF(Calculations!A195,Settings!$B$5,"")</f>
        <v/>
      </c>
      <c r="O195" s="2" t="str">
        <f aca="false">Calculations!J195</f>
        <v/>
      </c>
      <c r="P195" s="2" t="str">
        <f aca="false">IF(Calculations!A195,Settings!$B$5,"")</f>
        <v/>
      </c>
      <c r="Q195" s="2" t="str">
        <f aca="false">Calculations!K195</f>
        <v/>
      </c>
      <c r="R195" s="2" t="str">
        <f aca="false">IF(Calculations!A195,Settings!$B$5,"")</f>
        <v/>
      </c>
      <c r="S195" s="2" t="str">
        <f aca="false">Calculations!L195</f>
        <v/>
      </c>
      <c r="T195" s="2" t="str">
        <f aca="false">IF(Calculations!A195,Settings!$B$5,"")</f>
        <v/>
      </c>
      <c r="U195" s="2" t="str">
        <f aca="false">Calculations!M195</f>
        <v/>
      </c>
      <c r="V195" s="2" t="str">
        <f aca="false">IF(Calculations!A195,Settings!$B$5,"")</f>
        <v/>
      </c>
      <c r="W195" s="2" t="str">
        <f aca="false">Calculations!N195</f>
        <v/>
      </c>
      <c r="X195" s="1" t="str">
        <f aca="false">Calculations!O195</f>
        <v/>
      </c>
      <c r="Y195" s="1" t="str">
        <f aca="false">IF(Calculations!P195="","",Calculations!P195)</f>
        <v/>
      </c>
    </row>
    <row r="196" customFormat="false" ht="13.8" hidden="false" customHeight="false" outlineLevel="0" collapsed="false">
      <c r="A196" s="23"/>
      <c r="B196" s="23"/>
      <c r="C196" s="2" t="str">
        <f aca="false">IF(Calculations!A196,Dates!D196,"")</f>
        <v/>
      </c>
      <c r="D196" s="2" t="str">
        <f aca="false">IF(Calculations!A196,1,"")</f>
        <v/>
      </c>
      <c r="E196" s="2" t="str">
        <f aca="false">IF(Calculations!A196,Dates!I196,"")</f>
        <v/>
      </c>
      <c r="F196" s="2" t="str">
        <f aca="false">IF(Calculations!A196,Dates!J196,"")</f>
        <v/>
      </c>
      <c r="G196" s="11" t="str">
        <f aca="false">IF(Calculations!A196,Dates!K196,"")</f>
        <v/>
      </c>
      <c r="H196" s="2" t="str">
        <f aca="false">IF(Calculations!A196,Dates!H196,"")</f>
        <v/>
      </c>
      <c r="I196" s="12"/>
      <c r="J196" s="12"/>
      <c r="K196" s="2" t="n">
        <f aca="false">IF(ISNUMBER(I196),1,0)</f>
        <v>0</v>
      </c>
      <c r="M196" s="2" t="str">
        <f aca="false">Calculations!I196</f>
        <v/>
      </c>
      <c r="N196" s="2" t="str">
        <f aca="false">IF(Calculations!A196,Settings!$B$5,"")</f>
        <v/>
      </c>
      <c r="O196" s="2" t="str">
        <f aca="false">Calculations!J196</f>
        <v/>
      </c>
      <c r="P196" s="2" t="str">
        <f aca="false">IF(Calculations!A196,Settings!$B$5,"")</f>
        <v/>
      </c>
      <c r="Q196" s="2" t="str">
        <f aca="false">Calculations!K196</f>
        <v/>
      </c>
      <c r="R196" s="2" t="str">
        <f aca="false">IF(Calculations!A196,Settings!$B$5,"")</f>
        <v/>
      </c>
      <c r="S196" s="2" t="str">
        <f aca="false">Calculations!L196</f>
        <v/>
      </c>
      <c r="T196" s="2" t="str">
        <f aca="false">IF(Calculations!A196,Settings!$B$5,"")</f>
        <v/>
      </c>
      <c r="U196" s="2" t="str">
        <f aca="false">Calculations!M196</f>
        <v/>
      </c>
      <c r="V196" s="2" t="str">
        <f aca="false">IF(Calculations!A196,Settings!$B$5,"")</f>
        <v/>
      </c>
      <c r="W196" s="2" t="str">
        <f aca="false">Calculations!N196</f>
        <v/>
      </c>
      <c r="X196" s="1" t="str">
        <f aca="false">Calculations!O196</f>
        <v/>
      </c>
      <c r="Y196" s="1" t="str">
        <f aca="false">IF(Calculations!P196="","",Calculations!P196)</f>
        <v/>
      </c>
    </row>
    <row r="197" customFormat="false" ht="13.8" hidden="false" customHeight="false" outlineLevel="0" collapsed="false">
      <c r="A197" s="23"/>
      <c r="B197" s="23"/>
      <c r="C197" s="2" t="str">
        <f aca="false">IF(Calculations!A197,Dates!D197,"")</f>
        <v/>
      </c>
      <c r="D197" s="2" t="str">
        <f aca="false">IF(Calculations!A197,1,"")</f>
        <v/>
      </c>
      <c r="E197" s="2" t="str">
        <f aca="false">IF(Calculations!A197,Dates!I197,"")</f>
        <v/>
      </c>
      <c r="F197" s="2" t="str">
        <f aca="false">IF(Calculations!A197,Dates!J197,"")</f>
        <v/>
      </c>
      <c r="G197" s="11" t="str">
        <f aca="false">IF(Calculations!A197,Dates!K197,"")</f>
        <v/>
      </c>
      <c r="H197" s="2" t="str">
        <f aca="false">IF(Calculations!A197,Dates!H197,"")</f>
        <v/>
      </c>
      <c r="I197" s="12"/>
      <c r="J197" s="12"/>
      <c r="K197" s="2" t="n">
        <f aca="false">IF(ISNUMBER(I197),1,0)</f>
        <v>0</v>
      </c>
      <c r="M197" s="2" t="str">
        <f aca="false">Calculations!I197</f>
        <v/>
      </c>
      <c r="N197" s="2" t="str">
        <f aca="false">IF(Calculations!A197,Settings!$B$5,"")</f>
        <v/>
      </c>
      <c r="O197" s="2" t="str">
        <f aca="false">Calculations!J197</f>
        <v/>
      </c>
      <c r="P197" s="2" t="str">
        <f aca="false">IF(Calculations!A197,Settings!$B$5,"")</f>
        <v/>
      </c>
      <c r="Q197" s="2" t="str">
        <f aca="false">Calculations!K197</f>
        <v/>
      </c>
      <c r="R197" s="2" t="str">
        <f aca="false">IF(Calculations!A197,Settings!$B$5,"")</f>
        <v/>
      </c>
      <c r="S197" s="2" t="str">
        <f aca="false">Calculations!L197</f>
        <v/>
      </c>
      <c r="T197" s="2" t="str">
        <f aca="false">IF(Calculations!A197,Settings!$B$5,"")</f>
        <v/>
      </c>
      <c r="U197" s="2" t="str">
        <f aca="false">Calculations!M197</f>
        <v/>
      </c>
      <c r="V197" s="2" t="str">
        <f aca="false">IF(Calculations!A197,Settings!$B$5,"")</f>
        <v/>
      </c>
      <c r="W197" s="2" t="str">
        <f aca="false">Calculations!N197</f>
        <v/>
      </c>
      <c r="X197" s="1" t="str">
        <f aca="false">Calculations!O197</f>
        <v/>
      </c>
      <c r="Y197" s="1" t="str">
        <f aca="false">IF(Calculations!P197="","",Calculations!P197)</f>
        <v/>
      </c>
    </row>
    <row r="198" customFormat="false" ht="13.8" hidden="false" customHeight="false" outlineLevel="0" collapsed="false">
      <c r="A198" s="23"/>
      <c r="B198" s="23"/>
      <c r="C198" s="2" t="str">
        <f aca="false">IF(Calculations!A198,Dates!D198,"")</f>
        <v/>
      </c>
      <c r="D198" s="2" t="str">
        <f aca="false">IF(Calculations!A198,1,"")</f>
        <v/>
      </c>
      <c r="E198" s="2" t="str">
        <f aca="false">IF(Calculations!A198,Dates!I198,"")</f>
        <v/>
      </c>
      <c r="F198" s="2" t="str">
        <f aca="false">IF(Calculations!A198,Dates!J198,"")</f>
        <v/>
      </c>
      <c r="G198" s="11" t="str">
        <f aca="false">IF(Calculations!A198,Dates!K198,"")</f>
        <v/>
      </c>
      <c r="H198" s="2" t="str">
        <f aca="false">IF(Calculations!A198,Dates!H198,"")</f>
        <v/>
      </c>
      <c r="I198" s="12"/>
      <c r="J198" s="12"/>
      <c r="K198" s="2" t="n">
        <f aca="false">IF(ISNUMBER(I198),1,0)</f>
        <v>0</v>
      </c>
      <c r="M198" s="2" t="str">
        <f aca="false">Calculations!I198</f>
        <v/>
      </c>
      <c r="N198" s="2" t="str">
        <f aca="false">IF(Calculations!A198,Settings!$B$5,"")</f>
        <v/>
      </c>
      <c r="O198" s="2" t="str">
        <f aca="false">Calculations!J198</f>
        <v/>
      </c>
      <c r="P198" s="2" t="str">
        <f aca="false">IF(Calculations!A198,Settings!$B$5,"")</f>
        <v/>
      </c>
      <c r="Q198" s="2" t="str">
        <f aca="false">Calculations!K198</f>
        <v/>
      </c>
      <c r="R198" s="2" t="str">
        <f aca="false">IF(Calculations!A198,Settings!$B$5,"")</f>
        <v/>
      </c>
      <c r="S198" s="2" t="str">
        <f aca="false">Calculations!L198</f>
        <v/>
      </c>
      <c r="T198" s="2" t="str">
        <f aca="false">IF(Calculations!A198,Settings!$B$5,"")</f>
        <v/>
      </c>
      <c r="U198" s="2" t="str">
        <f aca="false">Calculations!M198</f>
        <v/>
      </c>
      <c r="V198" s="2" t="str">
        <f aca="false">IF(Calculations!A198,Settings!$B$5,"")</f>
        <v/>
      </c>
      <c r="W198" s="2" t="str">
        <f aca="false">Calculations!N198</f>
        <v/>
      </c>
      <c r="X198" s="1" t="str">
        <f aca="false">Calculations!O198</f>
        <v/>
      </c>
      <c r="Y198" s="1" t="str">
        <f aca="false">IF(Calculations!P198="","",Calculations!P198)</f>
        <v/>
      </c>
    </row>
    <row r="199" customFormat="false" ht="13.8" hidden="false" customHeight="false" outlineLevel="0" collapsed="false">
      <c r="A199" s="23"/>
      <c r="B199" s="23"/>
      <c r="C199" s="2" t="str">
        <f aca="false">IF(Calculations!A199,Dates!D199,"")</f>
        <v/>
      </c>
      <c r="D199" s="2" t="str">
        <f aca="false">IF(Calculations!A199,1,"")</f>
        <v/>
      </c>
      <c r="E199" s="2" t="str">
        <f aca="false">IF(Calculations!A199,Dates!I199,"")</f>
        <v/>
      </c>
      <c r="F199" s="2" t="str">
        <f aca="false">IF(Calculations!A199,Dates!J199,"")</f>
        <v/>
      </c>
      <c r="G199" s="11" t="str">
        <f aca="false">IF(Calculations!A199,Dates!K199,"")</f>
        <v/>
      </c>
      <c r="H199" s="2" t="str">
        <f aca="false">IF(Calculations!A199,Dates!H199,"")</f>
        <v/>
      </c>
      <c r="I199" s="12"/>
      <c r="J199" s="12"/>
      <c r="K199" s="2" t="n">
        <f aca="false">IF(ISNUMBER(I199),1,0)</f>
        <v>0</v>
      </c>
      <c r="M199" s="2" t="str">
        <f aca="false">Calculations!I199</f>
        <v/>
      </c>
      <c r="N199" s="2" t="str">
        <f aca="false">IF(Calculations!A199,Settings!$B$5,"")</f>
        <v/>
      </c>
      <c r="O199" s="2" t="str">
        <f aca="false">Calculations!J199</f>
        <v/>
      </c>
      <c r="P199" s="2" t="str">
        <f aca="false">IF(Calculations!A199,Settings!$B$5,"")</f>
        <v/>
      </c>
      <c r="Q199" s="2" t="str">
        <f aca="false">Calculations!K199</f>
        <v/>
      </c>
      <c r="R199" s="2" t="str">
        <f aca="false">IF(Calculations!A199,Settings!$B$5,"")</f>
        <v/>
      </c>
      <c r="S199" s="2" t="str">
        <f aca="false">Calculations!L199</f>
        <v/>
      </c>
      <c r="T199" s="2" t="str">
        <f aca="false">IF(Calculations!A199,Settings!$B$5,"")</f>
        <v/>
      </c>
      <c r="U199" s="2" t="str">
        <f aca="false">Calculations!M199</f>
        <v/>
      </c>
      <c r="V199" s="2" t="str">
        <f aca="false">IF(Calculations!A199,Settings!$B$5,"")</f>
        <v/>
      </c>
      <c r="W199" s="2" t="str">
        <f aca="false">Calculations!N199</f>
        <v/>
      </c>
      <c r="X199" s="1" t="str">
        <f aca="false">Calculations!O199</f>
        <v/>
      </c>
      <c r="Y199" s="1" t="str">
        <f aca="false">IF(Calculations!P199="","",Calculations!P199)</f>
        <v/>
      </c>
    </row>
    <row r="200" customFormat="false" ht="13.8" hidden="false" customHeight="false" outlineLevel="0" collapsed="false">
      <c r="A200" s="23"/>
      <c r="B200" s="23"/>
      <c r="C200" s="2" t="str">
        <f aca="false">IF(Calculations!A200,Dates!D200,"")</f>
        <v/>
      </c>
      <c r="D200" s="2" t="str">
        <f aca="false">IF(Calculations!A200,1,"")</f>
        <v/>
      </c>
      <c r="E200" s="2" t="str">
        <f aca="false">IF(Calculations!A200,Dates!I200,"")</f>
        <v/>
      </c>
      <c r="F200" s="2" t="str">
        <f aca="false">IF(Calculations!A200,Dates!J200,"")</f>
        <v/>
      </c>
      <c r="G200" s="11" t="str">
        <f aca="false">IF(Calculations!A200,Dates!K200,"")</f>
        <v/>
      </c>
      <c r="H200" s="2" t="str">
        <f aca="false">IF(Calculations!A200,Dates!H200,"")</f>
        <v/>
      </c>
      <c r="I200" s="12"/>
      <c r="J200" s="12"/>
      <c r="K200" s="2" t="n">
        <f aca="false">IF(ISNUMBER(I200),1,0)</f>
        <v>0</v>
      </c>
      <c r="M200" s="2" t="str">
        <f aca="false">Calculations!I200</f>
        <v/>
      </c>
      <c r="N200" s="2" t="str">
        <f aca="false">IF(Calculations!A200,Settings!$B$5,"")</f>
        <v/>
      </c>
      <c r="O200" s="2" t="str">
        <f aca="false">Calculations!J200</f>
        <v/>
      </c>
      <c r="P200" s="2" t="str">
        <f aca="false">IF(Calculations!A200,Settings!$B$5,"")</f>
        <v/>
      </c>
      <c r="Q200" s="2" t="str">
        <f aca="false">Calculations!K200</f>
        <v/>
      </c>
      <c r="R200" s="2" t="str">
        <f aca="false">IF(Calculations!A200,Settings!$B$5,"")</f>
        <v/>
      </c>
      <c r="S200" s="2" t="str">
        <f aca="false">Calculations!L200</f>
        <v/>
      </c>
      <c r="T200" s="2" t="str">
        <f aca="false">IF(Calculations!A200,Settings!$B$5,"")</f>
        <v/>
      </c>
      <c r="U200" s="2" t="str">
        <f aca="false">Calculations!M200</f>
        <v/>
      </c>
      <c r="V200" s="2" t="str">
        <f aca="false">IF(Calculations!A200,Settings!$B$5,"")</f>
        <v/>
      </c>
      <c r="W200" s="2" t="str">
        <f aca="false">Calculations!N200</f>
        <v/>
      </c>
      <c r="X200" s="1" t="str">
        <f aca="false">Calculations!O200</f>
        <v/>
      </c>
      <c r="Y200" s="1" t="str">
        <f aca="false">IF(Calculations!P200="","",Calculations!P200)</f>
        <v/>
      </c>
    </row>
    <row r="201" customFormat="false" ht="13.8" hidden="false" customHeight="false" outlineLevel="0" collapsed="false">
      <c r="A201" s="23"/>
      <c r="B201" s="23"/>
      <c r="C201" s="2" t="str">
        <f aca="false">IF(Calculations!A201,Dates!D201,"")</f>
        <v/>
      </c>
      <c r="D201" s="2" t="str">
        <f aca="false">IF(Calculations!A201,1,"")</f>
        <v/>
      </c>
      <c r="E201" s="2" t="str">
        <f aca="false">IF(Calculations!A201,Dates!I201,"")</f>
        <v/>
      </c>
      <c r="F201" s="2" t="str">
        <f aca="false">IF(Calculations!A201,Dates!J201,"")</f>
        <v/>
      </c>
      <c r="G201" s="11" t="str">
        <f aca="false">IF(Calculations!A201,Dates!K201,"")</f>
        <v/>
      </c>
      <c r="H201" s="2" t="str">
        <f aca="false">IF(Calculations!A201,Dates!H201,"")</f>
        <v/>
      </c>
      <c r="I201" s="12"/>
      <c r="J201" s="12"/>
      <c r="K201" s="2" t="n">
        <f aca="false">IF(ISNUMBER(I201),1,0)</f>
        <v>0</v>
      </c>
      <c r="M201" s="2" t="str">
        <f aca="false">Calculations!I201</f>
        <v/>
      </c>
      <c r="N201" s="2" t="str">
        <f aca="false">IF(Calculations!A201,Settings!$B$5,"")</f>
        <v/>
      </c>
      <c r="O201" s="2" t="str">
        <f aca="false">Calculations!J201</f>
        <v/>
      </c>
      <c r="P201" s="2" t="str">
        <f aca="false">IF(Calculations!A201,Settings!$B$5,"")</f>
        <v/>
      </c>
      <c r="Q201" s="2" t="str">
        <f aca="false">Calculations!K201</f>
        <v/>
      </c>
      <c r="R201" s="2" t="str">
        <f aca="false">IF(Calculations!A201,Settings!$B$5,"")</f>
        <v/>
      </c>
      <c r="S201" s="2" t="str">
        <f aca="false">Calculations!L201</f>
        <v/>
      </c>
      <c r="T201" s="2" t="str">
        <f aca="false">IF(Calculations!A201,Settings!$B$5,"")</f>
        <v/>
      </c>
      <c r="U201" s="2" t="str">
        <f aca="false">Calculations!M201</f>
        <v/>
      </c>
      <c r="V201" s="2" t="str">
        <f aca="false">IF(Calculations!A201,Settings!$B$5,"")</f>
        <v/>
      </c>
      <c r="W201" s="2" t="str">
        <f aca="false">Calculations!N201</f>
        <v/>
      </c>
      <c r="X201" s="1" t="str">
        <f aca="false">Calculations!O201</f>
        <v/>
      </c>
      <c r="Y201" s="1" t="str">
        <f aca="false">IF(Calculations!P201="","",Calculations!P201)</f>
        <v/>
      </c>
    </row>
    <row r="202" customFormat="false" ht="13.8" hidden="false" customHeight="false" outlineLevel="0" collapsed="false">
      <c r="A202" s="23"/>
      <c r="B202" s="23"/>
      <c r="C202" s="2" t="str">
        <f aca="false">IF(Calculations!A202,Dates!D202,"")</f>
        <v/>
      </c>
      <c r="D202" s="2" t="str">
        <f aca="false">IF(Calculations!A202,1,"")</f>
        <v/>
      </c>
      <c r="E202" s="2" t="str">
        <f aca="false">IF(Calculations!A202,Dates!I202,"")</f>
        <v/>
      </c>
      <c r="F202" s="2" t="str">
        <f aca="false">IF(Calculations!A202,Dates!J202,"")</f>
        <v/>
      </c>
      <c r="G202" s="11" t="str">
        <f aca="false">IF(Calculations!A202,Dates!K202,"")</f>
        <v/>
      </c>
      <c r="H202" s="2" t="str">
        <f aca="false">IF(Calculations!A202,Dates!H202,"")</f>
        <v/>
      </c>
      <c r="I202" s="12"/>
      <c r="J202" s="12"/>
      <c r="K202" s="2" t="n">
        <f aca="false">IF(ISNUMBER(I202),1,0)</f>
        <v>0</v>
      </c>
      <c r="M202" s="2" t="str">
        <f aca="false">Calculations!I202</f>
        <v/>
      </c>
      <c r="N202" s="2" t="str">
        <f aca="false">IF(Calculations!A202,Settings!$B$5,"")</f>
        <v/>
      </c>
      <c r="O202" s="2" t="str">
        <f aca="false">Calculations!J202</f>
        <v/>
      </c>
      <c r="P202" s="2" t="str">
        <f aca="false">IF(Calculations!A202,Settings!$B$5,"")</f>
        <v/>
      </c>
      <c r="Q202" s="2" t="str">
        <f aca="false">Calculations!K202</f>
        <v/>
      </c>
      <c r="R202" s="2" t="str">
        <f aca="false">IF(Calculations!A202,Settings!$B$5,"")</f>
        <v/>
      </c>
      <c r="S202" s="2" t="str">
        <f aca="false">Calculations!L202</f>
        <v/>
      </c>
      <c r="T202" s="2" t="str">
        <f aca="false">IF(Calculations!A202,Settings!$B$5,"")</f>
        <v/>
      </c>
      <c r="U202" s="2" t="str">
        <f aca="false">Calculations!M202</f>
        <v/>
      </c>
      <c r="V202" s="2" t="str">
        <f aca="false">IF(Calculations!A202,Settings!$B$5,"")</f>
        <v/>
      </c>
      <c r="W202" s="2" t="str">
        <f aca="false">Calculations!N202</f>
        <v/>
      </c>
      <c r="X202" s="1" t="str">
        <f aca="false">Calculations!O202</f>
        <v/>
      </c>
      <c r="Y202" s="1" t="str">
        <f aca="false">IF(Calculations!P202="","",Calculations!P202)</f>
        <v/>
      </c>
    </row>
    <row r="203" customFormat="false" ht="13.8" hidden="false" customHeight="false" outlineLevel="0" collapsed="false">
      <c r="A203" s="23"/>
      <c r="B203" s="23"/>
      <c r="C203" s="2" t="str">
        <f aca="false">IF(Calculations!A203,Dates!D203,"")</f>
        <v/>
      </c>
      <c r="D203" s="2" t="str">
        <f aca="false">IF(Calculations!A203,1,"")</f>
        <v/>
      </c>
      <c r="E203" s="2" t="str">
        <f aca="false">IF(Calculations!A203,Dates!I203,"")</f>
        <v/>
      </c>
      <c r="F203" s="2" t="str">
        <f aca="false">IF(Calculations!A203,Dates!J203,"")</f>
        <v/>
      </c>
      <c r="G203" s="11" t="str">
        <f aca="false">IF(Calculations!A203,Dates!K203,"")</f>
        <v/>
      </c>
      <c r="H203" s="2" t="str">
        <f aca="false">IF(Calculations!A203,Dates!H203,"")</f>
        <v/>
      </c>
      <c r="I203" s="12"/>
      <c r="J203" s="12"/>
      <c r="K203" s="2" t="n">
        <f aca="false">IF(ISNUMBER(I203),1,0)</f>
        <v>0</v>
      </c>
      <c r="M203" s="2" t="str">
        <f aca="false">Calculations!I203</f>
        <v/>
      </c>
      <c r="N203" s="2" t="str">
        <f aca="false">IF(Calculations!A203,Settings!$B$5,"")</f>
        <v/>
      </c>
      <c r="O203" s="2" t="str">
        <f aca="false">Calculations!J203</f>
        <v/>
      </c>
      <c r="P203" s="2" t="str">
        <f aca="false">IF(Calculations!A203,Settings!$B$5,"")</f>
        <v/>
      </c>
      <c r="Q203" s="2" t="str">
        <f aca="false">Calculations!K203</f>
        <v/>
      </c>
      <c r="R203" s="2" t="str">
        <f aca="false">IF(Calculations!A203,Settings!$B$5,"")</f>
        <v/>
      </c>
      <c r="S203" s="2" t="str">
        <f aca="false">Calculations!L203</f>
        <v/>
      </c>
      <c r="T203" s="2" t="str">
        <f aca="false">IF(Calculations!A203,Settings!$B$5,"")</f>
        <v/>
      </c>
      <c r="U203" s="2" t="str">
        <f aca="false">Calculations!M203</f>
        <v/>
      </c>
      <c r="V203" s="2" t="str">
        <f aca="false">IF(Calculations!A203,Settings!$B$5,"")</f>
        <v/>
      </c>
      <c r="W203" s="2" t="str">
        <f aca="false">Calculations!N203</f>
        <v/>
      </c>
      <c r="X203" s="1" t="str">
        <f aca="false">Calculations!O203</f>
        <v/>
      </c>
      <c r="Y203" s="1" t="str">
        <f aca="false">IF(Calculations!P203="","",Calculations!P203)</f>
        <v/>
      </c>
    </row>
    <row r="204" customFormat="false" ht="13.8" hidden="false" customHeight="false" outlineLevel="0" collapsed="false">
      <c r="A204" s="23"/>
      <c r="B204" s="23"/>
      <c r="C204" s="2" t="str">
        <f aca="false">IF(Calculations!A204,Dates!D204,"")</f>
        <v/>
      </c>
      <c r="D204" s="2" t="str">
        <f aca="false">IF(Calculations!A204,1,"")</f>
        <v/>
      </c>
      <c r="E204" s="2" t="str">
        <f aca="false">IF(Calculations!A204,Dates!I204,"")</f>
        <v/>
      </c>
      <c r="F204" s="2" t="str">
        <f aca="false">IF(Calculations!A204,Dates!J204,"")</f>
        <v/>
      </c>
      <c r="G204" s="11" t="str">
        <f aca="false">IF(Calculations!A204,Dates!K204,"")</f>
        <v/>
      </c>
      <c r="H204" s="2" t="str">
        <f aca="false">IF(Calculations!A204,Dates!H204,"")</f>
        <v/>
      </c>
      <c r="I204" s="12"/>
      <c r="J204" s="12"/>
      <c r="K204" s="2" t="n">
        <f aca="false">IF(ISNUMBER(I204),1,0)</f>
        <v>0</v>
      </c>
      <c r="M204" s="2" t="str">
        <f aca="false">Calculations!I204</f>
        <v/>
      </c>
      <c r="N204" s="2" t="str">
        <f aca="false">IF(Calculations!A204,Settings!$B$5,"")</f>
        <v/>
      </c>
      <c r="O204" s="2" t="str">
        <f aca="false">Calculations!J204</f>
        <v/>
      </c>
      <c r="P204" s="2" t="str">
        <f aca="false">IF(Calculations!A204,Settings!$B$5,"")</f>
        <v/>
      </c>
      <c r="Q204" s="2" t="str">
        <f aca="false">Calculations!K204</f>
        <v/>
      </c>
      <c r="R204" s="2" t="str">
        <f aca="false">IF(Calculations!A204,Settings!$B$5,"")</f>
        <v/>
      </c>
      <c r="S204" s="2" t="str">
        <f aca="false">Calculations!L204</f>
        <v/>
      </c>
      <c r="T204" s="2" t="str">
        <f aca="false">IF(Calculations!A204,Settings!$B$5,"")</f>
        <v/>
      </c>
      <c r="U204" s="2" t="str">
        <f aca="false">Calculations!M204</f>
        <v/>
      </c>
      <c r="V204" s="2" t="str">
        <f aca="false">IF(Calculations!A204,Settings!$B$5,"")</f>
        <v/>
      </c>
      <c r="W204" s="2" t="str">
        <f aca="false">Calculations!N204</f>
        <v/>
      </c>
      <c r="X204" s="1" t="str">
        <f aca="false">Calculations!O204</f>
        <v/>
      </c>
      <c r="Y204" s="1" t="str">
        <f aca="false">IF(Calculations!P204="","",Calculations!P204)</f>
        <v/>
      </c>
    </row>
    <row r="205" customFormat="false" ht="13.8" hidden="false" customHeight="false" outlineLevel="0" collapsed="false">
      <c r="A205" s="23"/>
      <c r="B205" s="23"/>
      <c r="C205" s="2" t="str">
        <f aca="false">IF(Calculations!A205,Dates!D205,"")</f>
        <v/>
      </c>
      <c r="D205" s="2" t="str">
        <f aca="false">IF(Calculations!A205,1,"")</f>
        <v/>
      </c>
      <c r="E205" s="2" t="str">
        <f aca="false">IF(Calculations!A205,Dates!I205,"")</f>
        <v/>
      </c>
      <c r="F205" s="2" t="str">
        <f aca="false">IF(Calculations!A205,Dates!J205,"")</f>
        <v/>
      </c>
      <c r="G205" s="11" t="str">
        <f aca="false">IF(Calculations!A205,Dates!K205,"")</f>
        <v/>
      </c>
      <c r="H205" s="2" t="str">
        <f aca="false">IF(Calculations!A205,Dates!H205,"")</f>
        <v/>
      </c>
      <c r="I205" s="12"/>
      <c r="J205" s="12"/>
      <c r="K205" s="2" t="n">
        <f aca="false">IF(ISNUMBER(I205),1,0)</f>
        <v>0</v>
      </c>
      <c r="M205" s="2" t="str">
        <f aca="false">Calculations!I205</f>
        <v/>
      </c>
      <c r="N205" s="2" t="str">
        <f aca="false">IF(Calculations!A205,Settings!$B$5,"")</f>
        <v/>
      </c>
      <c r="O205" s="2" t="str">
        <f aca="false">Calculations!J205</f>
        <v/>
      </c>
      <c r="P205" s="2" t="str">
        <f aca="false">IF(Calculations!A205,Settings!$B$5,"")</f>
        <v/>
      </c>
      <c r="Q205" s="2" t="str">
        <f aca="false">Calculations!K205</f>
        <v/>
      </c>
      <c r="R205" s="2" t="str">
        <f aca="false">IF(Calculations!A205,Settings!$B$5,"")</f>
        <v/>
      </c>
      <c r="S205" s="2" t="str">
        <f aca="false">Calculations!L205</f>
        <v/>
      </c>
      <c r="T205" s="2" t="str">
        <f aca="false">IF(Calculations!A205,Settings!$B$5,"")</f>
        <v/>
      </c>
      <c r="U205" s="2" t="str">
        <f aca="false">Calculations!M205</f>
        <v/>
      </c>
      <c r="V205" s="2" t="str">
        <f aca="false">IF(Calculations!A205,Settings!$B$5,"")</f>
        <v/>
      </c>
      <c r="W205" s="2" t="str">
        <f aca="false">Calculations!N205</f>
        <v/>
      </c>
      <c r="X205" s="1" t="str">
        <f aca="false">Calculations!O205</f>
        <v/>
      </c>
      <c r="Y205" s="1" t="str">
        <f aca="false">IF(Calculations!P205="","",Calculations!P205)</f>
        <v/>
      </c>
    </row>
    <row r="206" customFormat="false" ht="13.8" hidden="false" customHeight="false" outlineLevel="0" collapsed="false">
      <c r="A206" s="23"/>
      <c r="B206" s="23"/>
      <c r="C206" s="2" t="str">
        <f aca="false">IF(Calculations!A206,Dates!D206,"")</f>
        <v/>
      </c>
      <c r="D206" s="2" t="str">
        <f aca="false">IF(Calculations!A206,1,"")</f>
        <v/>
      </c>
      <c r="E206" s="2" t="str">
        <f aca="false">IF(Calculations!A206,Dates!I206,"")</f>
        <v/>
      </c>
      <c r="F206" s="2" t="str">
        <f aca="false">IF(Calculations!A206,Dates!J206,"")</f>
        <v/>
      </c>
      <c r="G206" s="11" t="str">
        <f aca="false">IF(Calculations!A206,Dates!K206,"")</f>
        <v/>
      </c>
      <c r="H206" s="2" t="str">
        <f aca="false">IF(Calculations!A206,Dates!H206,"")</f>
        <v/>
      </c>
      <c r="I206" s="12"/>
      <c r="J206" s="12"/>
      <c r="K206" s="2" t="n">
        <f aca="false">IF(ISNUMBER(I206),1,0)</f>
        <v>0</v>
      </c>
      <c r="M206" s="2" t="str">
        <f aca="false">Calculations!I206</f>
        <v/>
      </c>
      <c r="N206" s="2" t="str">
        <f aca="false">IF(Calculations!A206,Settings!$B$5,"")</f>
        <v/>
      </c>
      <c r="O206" s="2" t="str">
        <f aca="false">Calculations!J206</f>
        <v/>
      </c>
      <c r="P206" s="2" t="str">
        <f aca="false">IF(Calculations!A206,Settings!$B$5,"")</f>
        <v/>
      </c>
      <c r="Q206" s="2" t="str">
        <f aca="false">Calculations!K206</f>
        <v/>
      </c>
      <c r="R206" s="2" t="str">
        <f aca="false">IF(Calculations!A206,Settings!$B$5,"")</f>
        <v/>
      </c>
      <c r="S206" s="2" t="str">
        <f aca="false">Calculations!L206</f>
        <v/>
      </c>
      <c r="T206" s="2" t="str">
        <f aca="false">IF(Calculations!A206,Settings!$B$5,"")</f>
        <v/>
      </c>
      <c r="U206" s="2" t="str">
        <f aca="false">Calculations!M206</f>
        <v/>
      </c>
      <c r="V206" s="2" t="str">
        <f aca="false">IF(Calculations!A206,Settings!$B$5,"")</f>
        <v/>
      </c>
      <c r="W206" s="2" t="str">
        <f aca="false">Calculations!N206</f>
        <v/>
      </c>
      <c r="X206" s="1" t="str">
        <f aca="false">Calculations!O206</f>
        <v/>
      </c>
      <c r="Y206" s="1" t="str">
        <f aca="false">IF(Calculations!P206="","",Calculations!P206)</f>
        <v/>
      </c>
    </row>
    <row r="207" customFormat="false" ht="13.8" hidden="false" customHeight="false" outlineLevel="0" collapsed="false">
      <c r="A207" s="23"/>
      <c r="B207" s="23"/>
      <c r="C207" s="2" t="str">
        <f aca="false">IF(Calculations!A207,Dates!D207,"")</f>
        <v/>
      </c>
      <c r="D207" s="2" t="str">
        <f aca="false">IF(Calculations!A207,1,"")</f>
        <v/>
      </c>
      <c r="E207" s="2" t="str">
        <f aca="false">IF(Calculations!A207,Dates!I207,"")</f>
        <v/>
      </c>
      <c r="F207" s="2" t="str">
        <f aca="false">IF(Calculations!A207,Dates!J207,"")</f>
        <v/>
      </c>
      <c r="G207" s="11" t="str">
        <f aca="false">IF(Calculations!A207,Dates!K207,"")</f>
        <v/>
      </c>
      <c r="H207" s="2" t="str">
        <f aca="false">IF(Calculations!A207,Dates!H207,"")</f>
        <v/>
      </c>
      <c r="I207" s="12"/>
      <c r="J207" s="12"/>
      <c r="K207" s="2" t="n">
        <f aca="false">IF(ISNUMBER(I207),1,0)</f>
        <v>0</v>
      </c>
      <c r="M207" s="2" t="str">
        <f aca="false">Calculations!I207</f>
        <v/>
      </c>
      <c r="N207" s="2" t="str">
        <f aca="false">IF(Calculations!A207,Settings!$B$5,"")</f>
        <v/>
      </c>
      <c r="O207" s="2" t="str">
        <f aca="false">Calculations!J207</f>
        <v/>
      </c>
      <c r="P207" s="2" t="str">
        <f aca="false">IF(Calculations!A207,Settings!$B$5,"")</f>
        <v/>
      </c>
      <c r="Q207" s="2" t="str">
        <f aca="false">Calculations!K207</f>
        <v/>
      </c>
      <c r="R207" s="2" t="str">
        <f aca="false">IF(Calculations!A207,Settings!$B$5,"")</f>
        <v/>
      </c>
      <c r="S207" s="2" t="str">
        <f aca="false">Calculations!L207</f>
        <v/>
      </c>
      <c r="T207" s="2" t="str">
        <f aca="false">IF(Calculations!A207,Settings!$B$5,"")</f>
        <v/>
      </c>
      <c r="U207" s="2" t="str">
        <f aca="false">Calculations!M207</f>
        <v/>
      </c>
      <c r="V207" s="2" t="str">
        <f aca="false">IF(Calculations!A207,Settings!$B$5,"")</f>
        <v/>
      </c>
      <c r="W207" s="2" t="str">
        <f aca="false">Calculations!N207</f>
        <v/>
      </c>
      <c r="X207" s="1" t="str">
        <f aca="false">Calculations!O207</f>
        <v/>
      </c>
      <c r="Y207" s="1" t="str">
        <f aca="false">IF(Calculations!P207="","",Calculations!P207)</f>
        <v/>
      </c>
    </row>
    <row r="208" customFormat="false" ht="13.8" hidden="false" customHeight="false" outlineLevel="0" collapsed="false">
      <c r="A208" s="23"/>
      <c r="B208" s="23"/>
      <c r="C208" s="2" t="str">
        <f aca="false">IF(Calculations!A208,Dates!D208,"")</f>
        <v/>
      </c>
      <c r="D208" s="2" t="str">
        <f aca="false">IF(Calculations!A208,1,"")</f>
        <v/>
      </c>
      <c r="E208" s="2" t="str">
        <f aca="false">IF(Calculations!A208,Dates!I208,"")</f>
        <v/>
      </c>
      <c r="F208" s="2" t="str">
        <f aca="false">IF(Calculations!A208,Dates!J208,"")</f>
        <v/>
      </c>
      <c r="G208" s="11" t="str">
        <f aca="false">IF(Calculations!A208,Dates!K208,"")</f>
        <v/>
      </c>
      <c r="H208" s="2" t="str">
        <f aca="false">IF(Calculations!A208,Dates!H208,"")</f>
        <v/>
      </c>
      <c r="I208" s="12"/>
      <c r="J208" s="12"/>
      <c r="K208" s="2" t="n">
        <f aca="false">IF(ISNUMBER(I208),1,0)</f>
        <v>0</v>
      </c>
      <c r="M208" s="2" t="str">
        <f aca="false">Calculations!I208</f>
        <v/>
      </c>
      <c r="N208" s="2" t="str">
        <f aca="false">IF(Calculations!A208,Settings!$B$5,"")</f>
        <v/>
      </c>
      <c r="O208" s="2" t="str">
        <f aca="false">Calculations!J208</f>
        <v/>
      </c>
      <c r="P208" s="2" t="str">
        <f aca="false">IF(Calculations!A208,Settings!$B$5,"")</f>
        <v/>
      </c>
      <c r="Q208" s="2" t="str">
        <f aca="false">Calculations!K208</f>
        <v/>
      </c>
      <c r="R208" s="2" t="str">
        <f aca="false">IF(Calculations!A208,Settings!$B$5,"")</f>
        <v/>
      </c>
      <c r="S208" s="2" t="str">
        <f aca="false">Calculations!L208</f>
        <v/>
      </c>
      <c r="T208" s="2" t="str">
        <f aca="false">IF(Calculations!A208,Settings!$B$5,"")</f>
        <v/>
      </c>
      <c r="U208" s="2" t="str">
        <f aca="false">Calculations!M208</f>
        <v/>
      </c>
      <c r="V208" s="2" t="str">
        <f aca="false">IF(Calculations!A208,Settings!$B$5,"")</f>
        <v/>
      </c>
      <c r="W208" s="2" t="str">
        <f aca="false">Calculations!N208</f>
        <v/>
      </c>
      <c r="X208" s="1" t="str">
        <f aca="false">Calculations!O208</f>
        <v/>
      </c>
      <c r="Y208" s="1" t="str">
        <f aca="false">IF(Calculations!P208="","",Calculations!P208)</f>
        <v/>
      </c>
    </row>
    <row r="209" customFormat="false" ht="13.8" hidden="false" customHeight="false" outlineLevel="0" collapsed="false">
      <c r="A209" s="23"/>
      <c r="B209" s="23"/>
      <c r="C209" s="2" t="str">
        <f aca="false">IF(Calculations!A209,Dates!D209,"")</f>
        <v/>
      </c>
      <c r="D209" s="2" t="str">
        <f aca="false">IF(Calculations!A209,1,"")</f>
        <v/>
      </c>
      <c r="E209" s="2" t="str">
        <f aca="false">IF(Calculations!A209,Dates!I209,"")</f>
        <v/>
      </c>
      <c r="F209" s="2" t="str">
        <f aca="false">IF(Calculations!A209,Dates!J209,"")</f>
        <v/>
      </c>
      <c r="G209" s="11" t="str">
        <f aca="false">IF(Calculations!A209,Dates!K209,"")</f>
        <v/>
      </c>
      <c r="H209" s="2" t="str">
        <f aca="false">IF(Calculations!A209,Dates!H209,"")</f>
        <v/>
      </c>
      <c r="I209" s="12"/>
      <c r="J209" s="12"/>
      <c r="K209" s="2" t="n">
        <f aca="false">IF(ISNUMBER(I209),1,0)</f>
        <v>0</v>
      </c>
      <c r="L209" s="2"/>
      <c r="M209" s="2" t="str">
        <f aca="false">Calculations!I209</f>
        <v/>
      </c>
      <c r="N209" s="2" t="str">
        <f aca="false">IF(Calculations!A209,Settings!$B$5,"")</f>
        <v/>
      </c>
      <c r="O209" s="2" t="str">
        <f aca="false">Calculations!J209</f>
        <v/>
      </c>
      <c r="P209" s="2" t="str">
        <f aca="false">IF(Calculations!A209,Settings!$B$5,"")</f>
        <v/>
      </c>
      <c r="Q209" s="2" t="str">
        <f aca="false">Calculations!K209</f>
        <v/>
      </c>
      <c r="R209" s="2" t="str">
        <f aca="false">IF(Calculations!A209,Settings!$B$5,"")</f>
        <v/>
      </c>
      <c r="S209" s="2" t="str">
        <f aca="false">Calculations!L209</f>
        <v/>
      </c>
      <c r="T209" s="2" t="str">
        <f aca="false">IF(Calculations!A209,Settings!$B$5,"")</f>
        <v/>
      </c>
      <c r="U209" s="2" t="str">
        <f aca="false">Calculations!M209</f>
        <v/>
      </c>
      <c r="V209" s="2" t="str">
        <f aca="false">IF(Calculations!A209,Settings!$B$5,"")</f>
        <v/>
      </c>
      <c r="W209" s="2" t="str">
        <f aca="false">Calculations!N209</f>
        <v/>
      </c>
      <c r="X209" s="1" t="str">
        <f aca="false">Calculations!O209</f>
        <v/>
      </c>
      <c r="Y209" s="1" t="str">
        <f aca="false">IF(Calculations!P209="","",Calculations!P209)</f>
        <v/>
      </c>
    </row>
    <row r="210" customFormat="false" ht="13.8" hidden="false" customHeight="false" outlineLevel="0" collapsed="false">
      <c r="A210" s="23"/>
      <c r="B210" s="23"/>
      <c r="C210" s="2" t="str">
        <f aca="false">IF(Calculations!A210,Dates!D210,"")</f>
        <v/>
      </c>
      <c r="D210" s="2" t="str">
        <f aca="false">IF(Calculations!A210,1,"")</f>
        <v/>
      </c>
      <c r="E210" s="2" t="str">
        <f aca="false">IF(Calculations!A210,Dates!I210,"")</f>
        <v/>
      </c>
      <c r="F210" s="2" t="str">
        <f aca="false">IF(Calculations!A210,Dates!J210,"")</f>
        <v/>
      </c>
      <c r="G210" s="11" t="str">
        <f aca="false">IF(Calculations!A210,Dates!K210,"")</f>
        <v/>
      </c>
      <c r="H210" s="2" t="str">
        <f aca="false">IF(Calculations!A210,Dates!H210,"")</f>
        <v/>
      </c>
      <c r="I210" s="12"/>
      <c r="J210" s="12"/>
      <c r="K210" s="2" t="n">
        <f aca="false">IF(ISNUMBER(I210),1,0)</f>
        <v>0</v>
      </c>
      <c r="M210" s="2" t="str">
        <f aca="false">Calculations!I210</f>
        <v/>
      </c>
      <c r="N210" s="2" t="str">
        <f aca="false">IF(Calculations!A210,Settings!$B$5,"")</f>
        <v/>
      </c>
      <c r="O210" s="2" t="str">
        <f aca="false">Calculations!J210</f>
        <v/>
      </c>
      <c r="P210" s="2" t="str">
        <f aca="false">IF(Calculations!A210,Settings!$B$5,"")</f>
        <v/>
      </c>
      <c r="Q210" s="2" t="str">
        <f aca="false">Calculations!K210</f>
        <v/>
      </c>
      <c r="R210" s="2" t="str">
        <f aca="false">IF(Calculations!A210,Settings!$B$5,"")</f>
        <v/>
      </c>
      <c r="S210" s="2" t="str">
        <f aca="false">Calculations!L210</f>
        <v/>
      </c>
      <c r="T210" s="2" t="str">
        <f aca="false">IF(Calculations!A210,Settings!$B$5,"")</f>
        <v/>
      </c>
      <c r="U210" s="2" t="str">
        <f aca="false">Calculations!M210</f>
        <v/>
      </c>
      <c r="V210" s="2" t="str">
        <f aca="false">IF(Calculations!A210,Settings!$B$5,"")</f>
        <v/>
      </c>
      <c r="W210" s="2" t="str">
        <f aca="false">Calculations!N210</f>
        <v/>
      </c>
      <c r="X210" s="1" t="str">
        <f aca="false">Calculations!O210</f>
        <v/>
      </c>
      <c r="Y210" s="1" t="str">
        <f aca="false">IF(Calculations!P210="","",Calculations!P210)</f>
        <v/>
      </c>
    </row>
    <row r="211" customFormat="false" ht="13.8" hidden="false" customHeight="false" outlineLevel="0" collapsed="false">
      <c r="A211" s="23"/>
      <c r="B211" s="23"/>
      <c r="C211" s="2" t="str">
        <f aca="false">IF(Calculations!A211,Dates!D211,"")</f>
        <v/>
      </c>
      <c r="D211" s="2" t="str">
        <f aca="false">IF(Calculations!A211,1,"")</f>
        <v/>
      </c>
      <c r="E211" s="2" t="str">
        <f aca="false">IF(Calculations!A211,Dates!I211,"")</f>
        <v/>
      </c>
      <c r="F211" s="2" t="str">
        <f aca="false">IF(Calculations!A211,Dates!J211,"")</f>
        <v/>
      </c>
      <c r="G211" s="11" t="str">
        <f aca="false">IF(Calculations!A211,Dates!K211,"")</f>
        <v/>
      </c>
      <c r="H211" s="2" t="str">
        <f aca="false">IF(Calculations!A211,Dates!H211,"")</f>
        <v/>
      </c>
      <c r="I211" s="12"/>
      <c r="J211" s="12"/>
      <c r="K211" s="2" t="n">
        <f aca="false">IF(ISNUMBER(I211),1,0)</f>
        <v>0</v>
      </c>
      <c r="M211" s="2" t="str">
        <f aca="false">Calculations!I211</f>
        <v/>
      </c>
      <c r="N211" s="2" t="str">
        <f aca="false">IF(Calculations!A211,Settings!$B$5,"")</f>
        <v/>
      </c>
      <c r="O211" s="2" t="str">
        <f aca="false">Calculations!J211</f>
        <v/>
      </c>
      <c r="P211" s="2" t="str">
        <f aca="false">IF(Calculations!A211,Settings!$B$5,"")</f>
        <v/>
      </c>
      <c r="Q211" s="2" t="str">
        <f aca="false">Calculations!K211</f>
        <v/>
      </c>
      <c r="R211" s="2" t="str">
        <f aca="false">IF(Calculations!A211,Settings!$B$5,"")</f>
        <v/>
      </c>
      <c r="S211" s="2" t="str">
        <f aca="false">Calculations!L211</f>
        <v/>
      </c>
      <c r="T211" s="2" t="str">
        <f aca="false">IF(Calculations!A211,Settings!$B$5,"")</f>
        <v/>
      </c>
      <c r="U211" s="2" t="str">
        <f aca="false">Calculations!M211</f>
        <v/>
      </c>
      <c r="V211" s="2" t="str">
        <f aca="false">IF(Calculations!A211,Settings!$B$5,"")</f>
        <v/>
      </c>
      <c r="W211" s="2" t="str">
        <f aca="false">Calculations!N211</f>
        <v/>
      </c>
      <c r="X211" s="1" t="str">
        <f aca="false">Calculations!O211</f>
        <v/>
      </c>
      <c r="Y211" s="1" t="str">
        <f aca="false">IF(Calculations!P211="","",Calculations!P211)</f>
        <v/>
      </c>
    </row>
    <row r="212" customFormat="false" ht="13.8" hidden="false" customHeight="false" outlineLevel="0" collapsed="false">
      <c r="A212" s="23"/>
      <c r="B212" s="23"/>
      <c r="C212" s="2" t="str">
        <f aca="false">IF(Calculations!A212,Dates!D212,"")</f>
        <v/>
      </c>
      <c r="D212" s="2" t="str">
        <f aca="false">IF(Calculations!A212,1,"")</f>
        <v/>
      </c>
      <c r="E212" s="2" t="str">
        <f aca="false">IF(Calculations!A212,Dates!I212,"")</f>
        <v/>
      </c>
      <c r="F212" s="2" t="str">
        <f aca="false">IF(Calculations!A212,Dates!J212,"")</f>
        <v/>
      </c>
      <c r="G212" s="11" t="str">
        <f aca="false">IF(Calculations!A212,Dates!K212,"")</f>
        <v/>
      </c>
      <c r="H212" s="2" t="str">
        <f aca="false">IF(Calculations!A212,Dates!H212,"")</f>
        <v/>
      </c>
      <c r="I212" s="12"/>
      <c r="J212" s="12"/>
      <c r="K212" s="2" t="n">
        <f aca="false">IF(ISNUMBER(I212),1,0)</f>
        <v>0</v>
      </c>
      <c r="M212" s="2" t="str">
        <f aca="false">Calculations!I212</f>
        <v/>
      </c>
      <c r="N212" s="2" t="str">
        <f aca="false">IF(Calculations!A212,Settings!$B$5,"")</f>
        <v/>
      </c>
      <c r="O212" s="2" t="str">
        <f aca="false">Calculations!J212</f>
        <v/>
      </c>
      <c r="P212" s="2" t="str">
        <f aca="false">IF(Calculations!A212,Settings!$B$5,"")</f>
        <v/>
      </c>
      <c r="Q212" s="2" t="str">
        <f aca="false">Calculations!K212</f>
        <v/>
      </c>
      <c r="R212" s="2" t="str">
        <f aca="false">IF(Calculations!A212,Settings!$B$5,"")</f>
        <v/>
      </c>
      <c r="S212" s="2" t="str">
        <f aca="false">Calculations!L212</f>
        <v/>
      </c>
      <c r="T212" s="2" t="str">
        <f aca="false">IF(Calculations!A212,Settings!$B$5,"")</f>
        <v/>
      </c>
      <c r="U212" s="2" t="str">
        <f aca="false">Calculations!M212</f>
        <v/>
      </c>
      <c r="V212" s="2" t="str">
        <f aca="false">IF(Calculations!A212,Settings!$B$5,"")</f>
        <v/>
      </c>
      <c r="W212" s="2" t="str">
        <f aca="false">Calculations!N212</f>
        <v/>
      </c>
      <c r="X212" s="1" t="str">
        <f aca="false">Calculations!O212</f>
        <v/>
      </c>
      <c r="Y212" s="1" t="str">
        <f aca="false">IF(Calculations!P212="","",Calculations!P212)</f>
        <v/>
      </c>
    </row>
    <row r="213" customFormat="false" ht="13.8" hidden="false" customHeight="false" outlineLevel="0" collapsed="false">
      <c r="A213" s="23"/>
      <c r="B213" s="23"/>
      <c r="C213" s="2" t="str">
        <f aca="false">IF(Calculations!A213,Dates!D213,"")</f>
        <v/>
      </c>
      <c r="D213" s="2" t="str">
        <f aca="false">IF(Calculations!A213,1,"")</f>
        <v/>
      </c>
      <c r="E213" s="2" t="str">
        <f aca="false">IF(Calculations!A213,Dates!I213,"")</f>
        <v/>
      </c>
      <c r="F213" s="2" t="str">
        <f aca="false">IF(Calculations!A213,Dates!J213,"")</f>
        <v/>
      </c>
      <c r="G213" s="11" t="str">
        <f aca="false">IF(Calculations!A213,Dates!K213,"")</f>
        <v/>
      </c>
      <c r="H213" s="2" t="str">
        <f aca="false">IF(Calculations!A213,Dates!H213,"")</f>
        <v/>
      </c>
      <c r="I213" s="12"/>
      <c r="J213" s="12"/>
      <c r="K213" s="2" t="n">
        <f aca="false">IF(ISNUMBER(I213),1,0)</f>
        <v>0</v>
      </c>
      <c r="M213" s="2" t="str">
        <f aca="false">Calculations!I213</f>
        <v/>
      </c>
      <c r="N213" s="2" t="str">
        <f aca="false">IF(Calculations!A213,Settings!$B$5,"")</f>
        <v/>
      </c>
      <c r="O213" s="2" t="str">
        <f aca="false">Calculations!J213</f>
        <v/>
      </c>
      <c r="P213" s="2" t="str">
        <f aca="false">IF(Calculations!A213,Settings!$B$5,"")</f>
        <v/>
      </c>
      <c r="Q213" s="2" t="str">
        <f aca="false">Calculations!K213</f>
        <v/>
      </c>
      <c r="R213" s="2" t="str">
        <f aca="false">IF(Calculations!A213,Settings!$B$5,"")</f>
        <v/>
      </c>
      <c r="S213" s="2" t="str">
        <f aca="false">Calculations!L213</f>
        <v/>
      </c>
      <c r="T213" s="2" t="str">
        <f aca="false">IF(Calculations!A213,Settings!$B$5,"")</f>
        <v/>
      </c>
      <c r="U213" s="2" t="str">
        <f aca="false">Calculations!M213</f>
        <v/>
      </c>
      <c r="V213" s="2" t="str">
        <f aca="false">IF(Calculations!A213,Settings!$B$5,"")</f>
        <v/>
      </c>
      <c r="W213" s="2" t="str">
        <f aca="false">Calculations!N213</f>
        <v/>
      </c>
      <c r="X213" s="1" t="str">
        <f aca="false">Calculations!O213</f>
        <v/>
      </c>
      <c r="Y213" s="1" t="str">
        <f aca="false">IF(Calculations!P213="","",Calculations!P213)</f>
        <v/>
      </c>
    </row>
    <row r="214" customFormat="false" ht="13.8" hidden="false" customHeight="false" outlineLevel="0" collapsed="false">
      <c r="A214" s="23"/>
      <c r="B214" s="23"/>
      <c r="C214" s="2" t="str">
        <f aca="false">IF(Calculations!A214,Dates!D214,"")</f>
        <v/>
      </c>
      <c r="D214" s="2" t="str">
        <f aca="false">IF(Calculations!A214,1,"")</f>
        <v/>
      </c>
      <c r="E214" s="2" t="str">
        <f aca="false">IF(Calculations!A214,Dates!I214,"")</f>
        <v/>
      </c>
      <c r="F214" s="2" t="str">
        <f aca="false">IF(Calculations!A214,Dates!J214,"")</f>
        <v/>
      </c>
      <c r="G214" s="11" t="str">
        <f aca="false">IF(Calculations!A214,Dates!K214,"")</f>
        <v/>
      </c>
      <c r="H214" s="2" t="str">
        <f aca="false">IF(Calculations!A214,Dates!H214,"")</f>
        <v/>
      </c>
      <c r="I214" s="12"/>
      <c r="J214" s="12"/>
      <c r="K214" s="2" t="n">
        <f aca="false">IF(ISNUMBER(I214),1,0)</f>
        <v>0</v>
      </c>
      <c r="M214" s="2" t="str">
        <f aca="false">Calculations!I214</f>
        <v/>
      </c>
      <c r="N214" s="2" t="str">
        <f aca="false">IF(Calculations!A214,Settings!$B$5,"")</f>
        <v/>
      </c>
      <c r="O214" s="2" t="str">
        <f aca="false">Calculations!J214</f>
        <v/>
      </c>
      <c r="P214" s="2" t="str">
        <f aca="false">IF(Calculations!A214,Settings!$B$5,"")</f>
        <v/>
      </c>
      <c r="Q214" s="2" t="str">
        <f aca="false">Calculations!K214</f>
        <v/>
      </c>
      <c r="R214" s="2" t="str">
        <f aca="false">IF(Calculations!A214,Settings!$B$5,"")</f>
        <v/>
      </c>
      <c r="S214" s="2" t="str">
        <f aca="false">Calculations!L214</f>
        <v/>
      </c>
      <c r="T214" s="2" t="str">
        <f aca="false">IF(Calculations!A214,Settings!$B$5,"")</f>
        <v/>
      </c>
      <c r="U214" s="2" t="str">
        <f aca="false">Calculations!M214</f>
        <v/>
      </c>
      <c r="V214" s="2" t="str">
        <f aca="false">IF(Calculations!A214,Settings!$B$5,"")</f>
        <v/>
      </c>
      <c r="W214" s="2" t="str">
        <f aca="false">Calculations!N214</f>
        <v/>
      </c>
      <c r="X214" s="1" t="str">
        <f aca="false">Calculations!O214</f>
        <v/>
      </c>
      <c r="Y214" s="1" t="str">
        <f aca="false">IF(Calculations!P214="","",Calculations!P214)</f>
        <v/>
      </c>
    </row>
    <row r="215" customFormat="false" ht="13.8" hidden="false" customHeight="false" outlineLevel="0" collapsed="false">
      <c r="A215" s="23"/>
      <c r="B215" s="23"/>
      <c r="C215" s="2" t="str">
        <f aca="false">IF(Calculations!A215,Dates!D215,"")</f>
        <v/>
      </c>
      <c r="D215" s="2" t="str">
        <f aca="false">IF(Calculations!A215,1,"")</f>
        <v/>
      </c>
      <c r="E215" s="2" t="str">
        <f aca="false">IF(Calculations!A215,Dates!I215,"")</f>
        <v/>
      </c>
      <c r="F215" s="2" t="str">
        <f aca="false">IF(Calculations!A215,Dates!J215,"")</f>
        <v/>
      </c>
      <c r="G215" s="11" t="str">
        <f aca="false">IF(Calculations!A215,Dates!K215,"")</f>
        <v/>
      </c>
      <c r="H215" s="2" t="str">
        <f aca="false">IF(Calculations!A215,Dates!H215,"")</f>
        <v/>
      </c>
      <c r="I215" s="12"/>
      <c r="J215" s="12"/>
      <c r="K215" s="2" t="n">
        <f aca="false">IF(ISNUMBER(I215),1,0)</f>
        <v>0</v>
      </c>
      <c r="L215" s="2"/>
      <c r="M215" s="2" t="str">
        <f aca="false">Calculations!I215</f>
        <v/>
      </c>
      <c r="N215" s="2" t="str">
        <f aca="false">IF(Calculations!A215,Settings!$B$5,"")</f>
        <v/>
      </c>
      <c r="O215" s="2" t="str">
        <f aca="false">Calculations!J215</f>
        <v/>
      </c>
      <c r="P215" s="2" t="str">
        <f aca="false">IF(Calculations!A215,Settings!$B$5,"")</f>
        <v/>
      </c>
      <c r="Q215" s="2" t="str">
        <f aca="false">Calculations!K215</f>
        <v/>
      </c>
      <c r="R215" s="2" t="str">
        <f aca="false">IF(Calculations!A215,Settings!$B$5,"")</f>
        <v/>
      </c>
      <c r="S215" s="2" t="str">
        <f aca="false">Calculations!L215</f>
        <v/>
      </c>
      <c r="T215" s="2" t="str">
        <f aca="false">IF(Calculations!A215,Settings!$B$5,"")</f>
        <v/>
      </c>
      <c r="U215" s="2" t="str">
        <f aca="false">Calculations!M215</f>
        <v/>
      </c>
      <c r="V215" s="2" t="str">
        <f aca="false">IF(Calculations!A215,Settings!$B$5,"")</f>
        <v/>
      </c>
      <c r="W215" s="2" t="str">
        <f aca="false">Calculations!N215</f>
        <v/>
      </c>
      <c r="X215" s="1" t="str">
        <f aca="false">Calculations!O215</f>
        <v/>
      </c>
      <c r="Y215" s="1" t="str">
        <f aca="false">IF(Calculations!P215="","",Calculations!P215)</f>
        <v/>
      </c>
    </row>
    <row r="216" customFormat="false" ht="13.8" hidden="false" customHeight="false" outlineLevel="0" collapsed="false">
      <c r="A216" s="23"/>
      <c r="B216" s="23"/>
      <c r="C216" s="2" t="str">
        <f aca="false">IF(Calculations!A216,Dates!D216,"")</f>
        <v/>
      </c>
      <c r="D216" s="2" t="str">
        <f aca="false">IF(Calculations!A216,1,"")</f>
        <v/>
      </c>
      <c r="E216" s="2" t="str">
        <f aca="false">IF(Calculations!A216,Dates!I216,"")</f>
        <v/>
      </c>
      <c r="F216" s="2" t="str">
        <f aca="false">IF(Calculations!A216,Dates!J216,"")</f>
        <v/>
      </c>
      <c r="G216" s="11" t="str">
        <f aca="false">IF(Calculations!A216,Dates!K216,"")</f>
        <v/>
      </c>
      <c r="H216" s="2" t="str">
        <f aca="false">IF(Calculations!A216,Dates!H216,"")</f>
        <v/>
      </c>
      <c r="I216" s="12"/>
      <c r="J216" s="12"/>
      <c r="K216" s="2" t="n">
        <f aca="false">IF(ISNUMBER(I216),1,0)</f>
        <v>0</v>
      </c>
      <c r="L216" s="2"/>
      <c r="M216" s="2" t="str">
        <f aca="false">Calculations!I216</f>
        <v/>
      </c>
      <c r="N216" s="2" t="str">
        <f aca="false">IF(Calculations!A216,Settings!$B$5,"")</f>
        <v/>
      </c>
      <c r="O216" s="2" t="str">
        <f aca="false">Calculations!J216</f>
        <v/>
      </c>
      <c r="P216" s="2" t="str">
        <f aca="false">IF(Calculations!A216,Settings!$B$5,"")</f>
        <v/>
      </c>
      <c r="Q216" s="2" t="str">
        <f aca="false">Calculations!K216</f>
        <v/>
      </c>
      <c r="R216" s="2" t="str">
        <f aca="false">IF(Calculations!A216,Settings!$B$5,"")</f>
        <v/>
      </c>
      <c r="S216" s="2" t="str">
        <f aca="false">Calculations!L216</f>
        <v/>
      </c>
      <c r="T216" s="2" t="str">
        <f aca="false">IF(Calculations!A216,Settings!$B$5,"")</f>
        <v/>
      </c>
      <c r="U216" s="2" t="str">
        <f aca="false">Calculations!M216</f>
        <v/>
      </c>
      <c r="V216" s="2" t="str">
        <f aca="false">IF(Calculations!A216,Settings!$B$5,"")</f>
        <v/>
      </c>
      <c r="W216" s="2" t="str">
        <f aca="false">Calculations!N216</f>
        <v/>
      </c>
      <c r="X216" s="1" t="str">
        <f aca="false">Calculations!O216</f>
        <v/>
      </c>
      <c r="Y216" s="1" t="str">
        <f aca="false">IF(Calculations!P216="","",Calculations!P216)</f>
        <v/>
      </c>
    </row>
    <row r="217" customFormat="false" ht="13.8" hidden="false" customHeight="false" outlineLevel="0" collapsed="false">
      <c r="A217" s="23"/>
      <c r="B217" s="23"/>
      <c r="C217" s="2" t="str">
        <f aca="false">IF(Calculations!A217,Dates!D217,"")</f>
        <v/>
      </c>
      <c r="D217" s="2" t="str">
        <f aca="false">IF(Calculations!A217,1,"")</f>
        <v/>
      </c>
      <c r="E217" s="2" t="str">
        <f aca="false">IF(Calculations!A217,Dates!I217,"")</f>
        <v/>
      </c>
      <c r="F217" s="2" t="str">
        <f aca="false">IF(Calculations!A217,Dates!J217,"")</f>
        <v/>
      </c>
      <c r="G217" s="11" t="str">
        <f aca="false">IF(Calculations!A217,Dates!K217,"")</f>
        <v/>
      </c>
      <c r="H217" s="2" t="str">
        <f aca="false">IF(Calculations!A217,Dates!H217,"")</f>
        <v/>
      </c>
      <c r="I217" s="12"/>
      <c r="J217" s="12"/>
      <c r="K217" s="2" t="n">
        <f aca="false">IF(ISNUMBER(I217),1,0)</f>
        <v>0</v>
      </c>
      <c r="L217" s="2"/>
      <c r="M217" s="2" t="str">
        <f aca="false">Calculations!I217</f>
        <v/>
      </c>
      <c r="N217" s="2" t="str">
        <f aca="false">IF(Calculations!A217,Settings!$B$5,"")</f>
        <v/>
      </c>
      <c r="O217" s="2" t="str">
        <f aca="false">Calculations!J217</f>
        <v/>
      </c>
      <c r="P217" s="2" t="str">
        <f aca="false">IF(Calculations!A217,Settings!$B$5,"")</f>
        <v/>
      </c>
      <c r="Q217" s="2" t="str">
        <f aca="false">Calculations!K217</f>
        <v/>
      </c>
      <c r="R217" s="2" t="str">
        <f aca="false">IF(Calculations!A217,Settings!$B$5,"")</f>
        <v/>
      </c>
      <c r="S217" s="2" t="str">
        <f aca="false">Calculations!L217</f>
        <v/>
      </c>
      <c r="T217" s="2" t="str">
        <f aca="false">IF(Calculations!A217,Settings!$B$5,"")</f>
        <v/>
      </c>
      <c r="U217" s="2" t="str">
        <f aca="false">Calculations!M217</f>
        <v/>
      </c>
      <c r="V217" s="2" t="str">
        <f aca="false">IF(Calculations!A217,Settings!$B$5,"")</f>
        <v/>
      </c>
      <c r="W217" s="2" t="str">
        <f aca="false">Calculations!N217</f>
        <v/>
      </c>
      <c r="X217" s="1" t="str">
        <f aca="false">Calculations!O217</f>
        <v/>
      </c>
      <c r="Y217" s="1" t="str">
        <f aca="false">IF(Calculations!P217="","",Calculations!P217)</f>
        <v/>
      </c>
    </row>
    <row r="218" customFormat="false" ht="13.8" hidden="false" customHeight="false" outlineLevel="0" collapsed="false">
      <c r="A218" s="23"/>
      <c r="B218" s="23"/>
      <c r="C218" s="2" t="str">
        <f aca="false">IF(Calculations!A218,Dates!D218,"")</f>
        <v/>
      </c>
      <c r="D218" s="2" t="str">
        <f aca="false">IF(Calculations!A218,1,"")</f>
        <v/>
      </c>
      <c r="E218" s="2" t="str">
        <f aca="false">IF(Calculations!A218,Dates!I218,"")</f>
        <v/>
      </c>
      <c r="F218" s="2" t="str">
        <f aca="false">IF(Calculations!A218,Dates!J218,"")</f>
        <v/>
      </c>
      <c r="G218" s="11" t="str">
        <f aca="false">IF(Calculations!A218,Dates!K218,"")</f>
        <v/>
      </c>
      <c r="H218" s="2" t="str">
        <f aca="false">IF(Calculations!A218,Dates!H218,"")</f>
        <v/>
      </c>
      <c r="I218" s="12"/>
      <c r="J218" s="12"/>
      <c r="K218" s="2" t="n">
        <f aca="false">IF(ISNUMBER(I218),1,0)</f>
        <v>0</v>
      </c>
      <c r="L218" s="2"/>
      <c r="M218" s="2" t="str">
        <f aca="false">Calculations!I218</f>
        <v/>
      </c>
      <c r="N218" s="2" t="str">
        <f aca="false">IF(Calculations!A218,Settings!$B$5,"")</f>
        <v/>
      </c>
      <c r="O218" s="2" t="str">
        <f aca="false">Calculations!J218</f>
        <v/>
      </c>
      <c r="P218" s="2" t="str">
        <f aca="false">IF(Calculations!A218,Settings!$B$5,"")</f>
        <v/>
      </c>
      <c r="Q218" s="2" t="str">
        <f aca="false">Calculations!K218</f>
        <v/>
      </c>
      <c r="R218" s="2" t="str">
        <f aca="false">IF(Calculations!A218,Settings!$B$5,"")</f>
        <v/>
      </c>
      <c r="S218" s="2" t="str">
        <f aca="false">Calculations!L218</f>
        <v/>
      </c>
      <c r="T218" s="2" t="str">
        <f aca="false">IF(Calculations!A218,Settings!$B$5,"")</f>
        <v/>
      </c>
      <c r="U218" s="2" t="str">
        <f aca="false">Calculations!M218</f>
        <v/>
      </c>
      <c r="V218" s="2" t="str">
        <f aca="false">IF(Calculations!A218,Settings!$B$5,"")</f>
        <v/>
      </c>
      <c r="W218" s="2" t="str">
        <f aca="false">Calculations!N218</f>
        <v/>
      </c>
      <c r="X218" s="1" t="str">
        <f aca="false">Calculations!O218</f>
        <v/>
      </c>
      <c r="Y218" s="1" t="str">
        <f aca="false">IF(Calculations!P218="","",Calculations!P218)</f>
        <v/>
      </c>
    </row>
    <row r="219" customFormat="false" ht="13.8" hidden="false" customHeight="false" outlineLevel="0" collapsed="false">
      <c r="A219" s="23"/>
      <c r="B219" s="23"/>
      <c r="C219" s="2" t="str">
        <f aca="false">IF(Calculations!A219,Dates!D219,"")</f>
        <v/>
      </c>
      <c r="D219" s="2" t="str">
        <f aca="false">IF(Calculations!A219,1,"")</f>
        <v/>
      </c>
      <c r="E219" s="2" t="str">
        <f aca="false">IF(Calculations!A219,Dates!I219,"")</f>
        <v/>
      </c>
      <c r="F219" s="2" t="str">
        <f aca="false">IF(Calculations!A219,Dates!J219,"")</f>
        <v/>
      </c>
      <c r="G219" s="11" t="str">
        <f aca="false">IF(Calculations!A219,Dates!K219,"")</f>
        <v/>
      </c>
      <c r="H219" s="2" t="str">
        <f aca="false">IF(Calculations!A219,Dates!H219,"")</f>
        <v/>
      </c>
      <c r="I219" s="12"/>
      <c r="J219" s="12"/>
      <c r="K219" s="2" t="n">
        <f aca="false">IF(ISNUMBER(I219),1,0)</f>
        <v>0</v>
      </c>
      <c r="L219" s="2"/>
      <c r="M219" s="2" t="str">
        <f aca="false">Calculations!I219</f>
        <v/>
      </c>
      <c r="N219" s="2" t="str">
        <f aca="false">IF(Calculations!A219,Settings!$B$5,"")</f>
        <v/>
      </c>
      <c r="O219" s="2" t="str">
        <f aca="false">Calculations!J219</f>
        <v/>
      </c>
      <c r="P219" s="2" t="str">
        <f aca="false">IF(Calculations!A219,Settings!$B$5,"")</f>
        <v/>
      </c>
      <c r="Q219" s="2" t="str">
        <f aca="false">Calculations!K219</f>
        <v/>
      </c>
      <c r="R219" s="2" t="str">
        <f aca="false">IF(Calculations!A219,Settings!$B$5,"")</f>
        <v/>
      </c>
      <c r="S219" s="2" t="str">
        <f aca="false">Calculations!L219</f>
        <v/>
      </c>
      <c r="T219" s="2" t="str">
        <f aca="false">IF(Calculations!A219,Settings!$B$5,"")</f>
        <v/>
      </c>
      <c r="U219" s="2" t="str">
        <f aca="false">Calculations!M219</f>
        <v/>
      </c>
      <c r="V219" s="2" t="str">
        <f aca="false">IF(Calculations!A219,Settings!$B$5,"")</f>
        <v/>
      </c>
      <c r="W219" s="2" t="str">
        <f aca="false">Calculations!N219</f>
        <v/>
      </c>
      <c r="X219" s="1" t="str">
        <f aca="false">Calculations!O219</f>
        <v/>
      </c>
      <c r="Y219" s="1" t="str">
        <f aca="false">IF(Calculations!P219="","",Calculations!P219)</f>
        <v/>
      </c>
    </row>
    <row r="220" customFormat="false" ht="13.8" hidden="false" customHeight="false" outlineLevel="0" collapsed="false">
      <c r="A220" s="23"/>
      <c r="B220" s="23"/>
      <c r="C220" s="2" t="str">
        <f aca="false">IF(Calculations!A220,Dates!D220,"")</f>
        <v/>
      </c>
      <c r="D220" s="2" t="str">
        <f aca="false">IF(Calculations!A220,1,"")</f>
        <v/>
      </c>
      <c r="E220" s="2" t="str">
        <f aca="false">IF(Calculations!A220,Dates!I220,"")</f>
        <v/>
      </c>
      <c r="F220" s="2" t="str">
        <f aca="false">IF(Calculations!A220,Dates!J220,"")</f>
        <v/>
      </c>
      <c r="G220" s="11" t="str">
        <f aca="false">IF(Calculations!A220,Dates!K220,"")</f>
        <v/>
      </c>
      <c r="H220" s="2" t="str">
        <f aca="false">IF(Calculations!A220,Dates!H220,"")</f>
        <v/>
      </c>
      <c r="I220" s="12"/>
      <c r="J220" s="12"/>
      <c r="K220" s="2" t="n">
        <f aca="false">IF(ISNUMBER(I220),1,0)</f>
        <v>0</v>
      </c>
      <c r="L220" s="2"/>
      <c r="M220" s="2" t="str">
        <f aca="false">Calculations!I220</f>
        <v/>
      </c>
      <c r="N220" s="2" t="str">
        <f aca="false">IF(Calculations!A220,Settings!$B$5,"")</f>
        <v/>
      </c>
      <c r="O220" s="2" t="str">
        <f aca="false">Calculations!J220</f>
        <v/>
      </c>
      <c r="P220" s="2" t="str">
        <f aca="false">IF(Calculations!A220,Settings!$B$5,"")</f>
        <v/>
      </c>
      <c r="Q220" s="2" t="str">
        <f aca="false">Calculations!K220</f>
        <v/>
      </c>
      <c r="R220" s="2" t="str">
        <f aca="false">IF(Calculations!A220,Settings!$B$5,"")</f>
        <v/>
      </c>
      <c r="S220" s="2" t="str">
        <f aca="false">Calculations!L220</f>
        <v/>
      </c>
      <c r="T220" s="2" t="str">
        <f aca="false">IF(Calculations!A220,Settings!$B$5,"")</f>
        <v/>
      </c>
      <c r="U220" s="2" t="str">
        <f aca="false">Calculations!M220</f>
        <v/>
      </c>
      <c r="V220" s="2" t="str">
        <f aca="false">IF(Calculations!A220,Settings!$B$5,"")</f>
        <v/>
      </c>
      <c r="W220" s="2" t="str">
        <f aca="false">Calculations!N220</f>
        <v/>
      </c>
      <c r="X220" s="1" t="str">
        <f aca="false">Calculations!O220</f>
        <v/>
      </c>
      <c r="Y220" s="1" t="str">
        <f aca="false">IF(Calculations!P220="","",Calculations!P220)</f>
        <v/>
      </c>
    </row>
    <row r="221" customFormat="false" ht="13.8" hidden="false" customHeight="false" outlineLevel="0" collapsed="false">
      <c r="A221" s="23"/>
      <c r="B221" s="23"/>
      <c r="C221" s="2" t="str">
        <f aca="false">IF(Calculations!A221,Dates!D221,"")</f>
        <v/>
      </c>
      <c r="D221" s="2" t="str">
        <f aca="false">IF(Calculations!A221,1,"")</f>
        <v/>
      </c>
      <c r="E221" s="2" t="str">
        <f aca="false">IF(Calculations!A221,Dates!I221,"")</f>
        <v/>
      </c>
      <c r="F221" s="2" t="str">
        <f aca="false">IF(Calculations!A221,Dates!J221,"")</f>
        <v/>
      </c>
      <c r="G221" s="11" t="str">
        <f aca="false">IF(Calculations!A221,Dates!K221,"")</f>
        <v/>
      </c>
      <c r="H221" s="2" t="str">
        <f aca="false">IF(Calculations!A221,Dates!H221,"")</f>
        <v/>
      </c>
      <c r="I221" s="12"/>
      <c r="J221" s="12"/>
      <c r="K221" s="2" t="n">
        <f aca="false">IF(ISNUMBER(I221),1,0)</f>
        <v>0</v>
      </c>
      <c r="L221" s="2"/>
      <c r="M221" s="2" t="str">
        <f aca="false">Calculations!I221</f>
        <v/>
      </c>
      <c r="N221" s="2" t="str">
        <f aca="false">IF(Calculations!A221,Settings!$B$5,"")</f>
        <v/>
      </c>
      <c r="O221" s="2" t="str">
        <f aca="false">Calculations!J221</f>
        <v/>
      </c>
      <c r="P221" s="2" t="str">
        <f aca="false">IF(Calculations!A221,Settings!$B$5,"")</f>
        <v/>
      </c>
      <c r="Q221" s="2" t="str">
        <f aca="false">Calculations!K221</f>
        <v/>
      </c>
      <c r="R221" s="2" t="str">
        <f aca="false">IF(Calculations!A221,Settings!$B$5,"")</f>
        <v/>
      </c>
      <c r="S221" s="2" t="str">
        <f aca="false">Calculations!L221</f>
        <v/>
      </c>
      <c r="T221" s="2" t="str">
        <f aca="false">IF(Calculations!A221,Settings!$B$5,"")</f>
        <v/>
      </c>
      <c r="U221" s="2" t="str">
        <f aca="false">Calculations!M221</f>
        <v/>
      </c>
      <c r="V221" s="2" t="str">
        <f aca="false">IF(Calculations!A221,Settings!$B$5,"")</f>
        <v/>
      </c>
      <c r="W221" s="2" t="str">
        <f aca="false">Calculations!N221</f>
        <v/>
      </c>
      <c r="X221" s="1" t="str">
        <f aca="false">Calculations!O221</f>
        <v/>
      </c>
      <c r="Y221" s="1" t="str">
        <f aca="false">IF(Calculations!P221="","",Calculations!P221)</f>
        <v/>
      </c>
    </row>
    <row r="222" customFormat="false" ht="13.8" hidden="false" customHeight="false" outlineLevel="0" collapsed="false">
      <c r="A222" s="23"/>
      <c r="B222" s="23"/>
      <c r="C222" s="2" t="str">
        <f aca="false">IF(Calculations!A222,Dates!D222,"")</f>
        <v/>
      </c>
      <c r="D222" s="2" t="str">
        <f aca="false">IF(Calculations!A222,1,"")</f>
        <v/>
      </c>
      <c r="E222" s="2" t="str">
        <f aca="false">IF(Calculations!A222,Dates!I222,"")</f>
        <v/>
      </c>
      <c r="F222" s="2" t="str">
        <f aca="false">IF(Calculations!A222,Dates!J222,"")</f>
        <v/>
      </c>
      <c r="G222" s="11" t="str">
        <f aca="false">IF(Calculations!A222,Dates!K222,"")</f>
        <v/>
      </c>
      <c r="H222" s="2" t="str">
        <f aca="false">IF(Calculations!A222,Dates!H222,"")</f>
        <v/>
      </c>
      <c r="I222" s="12"/>
      <c r="J222" s="12"/>
      <c r="K222" s="2" t="n">
        <f aca="false">IF(ISNUMBER(I222),1,0)</f>
        <v>0</v>
      </c>
      <c r="L222" s="2"/>
      <c r="M222" s="2" t="str">
        <f aca="false">Calculations!I222</f>
        <v/>
      </c>
      <c r="N222" s="2" t="str">
        <f aca="false">IF(Calculations!A222,Settings!$B$5,"")</f>
        <v/>
      </c>
      <c r="O222" s="2" t="str">
        <f aca="false">Calculations!J222</f>
        <v/>
      </c>
      <c r="P222" s="2" t="str">
        <f aca="false">IF(Calculations!A222,Settings!$B$5,"")</f>
        <v/>
      </c>
      <c r="Q222" s="2" t="str">
        <f aca="false">Calculations!K222</f>
        <v/>
      </c>
      <c r="R222" s="2" t="str">
        <f aca="false">IF(Calculations!A222,Settings!$B$5,"")</f>
        <v/>
      </c>
      <c r="S222" s="2" t="str">
        <f aca="false">Calculations!L222</f>
        <v/>
      </c>
      <c r="T222" s="2" t="str">
        <f aca="false">IF(Calculations!A222,Settings!$B$5,"")</f>
        <v/>
      </c>
      <c r="U222" s="2" t="str">
        <f aca="false">Calculations!M222</f>
        <v/>
      </c>
      <c r="V222" s="2" t="str">
        <f aca="false">IF(Calculations!A222,Settings!$B$5,"")</f>
        <v/>
      </c>
      <c r="W222" s="2" t="str">
        <f aca="false">Calculations!N222</f>
        <v/>
      </c>
      <c r="X222" s="1" t="str">
        <f aca="false">Calculations!O222</f>
        <v/>
      </c>
      <c r="Y222" s="1" t="str">
        <f aca="false">IF(Calculations!P222="","",Calculations!P222)</f>
        <v/>
      </c>
    </row>
    <row r="223" customFormat="false" ht="13.8" hidden="false" customHeight="false" outlineLevel="0" collapsed="false">
      <c r="A223" s="23"/>
      <c r="B223" s="23"/>
      <c r="C223" s="2" t="str">
        <f aca="false">IF(Calculations!A223,Dates!D223,"")</f>
        <v/>
      </c>
      <c r="D223" s="2" t="str">
        <f aca="false">IF(Calculations!A223,1,"")</f>
        <v/>
      </c>
      <c r="E223" s="2" t="str">
        <f aca="false">IF(Calculations!A223,Dates!I223,"")</f>
        <v/>
      </c>
      <c r="F223" s="2" t="str">
        <f aca="false">IF(Calculations!A223,Dates!J223,"")</f>
        <v/>
      </c>
      <c r="G223" s="11" t="str">
        <f aca="false">IF(Calculations!A223,Dates!K223,"")</f>
        <v/>
      </c>
      <c r="H223" s="2" t="str">
        <f aca="false">IF(Calculations!A223,Dates!H223,"")</f>
        <v/>
      </c>
      <c r="I223" s="12"/>
      <c r="J223" s="12"/>
      <c r="K223" s="2" t="n">
        <f aca="false">IF(ISNUMBER(I223),1,0)</f>
        <v>0</v>
      </c>
      <c r="L223" s="2"/>
      <c r="M223" s="2" t="str">
        <f aca="false">Calculations!I223</f>
        <v/>
      </c>
      <c r="N223" s="2" t="str">
        <f aca="false">IF(Calculations!A223,Settings!$B$5,"")</f>
        <v/>
      </c>
      <c r="O223" s="2" t="str">
        <f aca="false">Calculations!J223</f>
        <v/>
      </c>
      <c r="P223" s="2" t="str">
        <f aca="false">IF(Calculations!A223,Settings!$B$5,"")</f>
        <v/>
      </c>
      <c r="Q223" s="2" t="str">
        <f aca="false">Calculations!K223</f>
        <v/>
      </c>
      <c r="R223" s="2" t="str">
        <f aca="false">IF(Calculations!A223,Settings!$B$5,"")</f>
        <v/>
      </c>
      <c r="S223" s="2" t="str">
        <f aca="false">Calculations!L223</f>
        <v/>
      </c>
      <c r="T223" s="2" t="str">
        <f aca="false">IF(Calculations!A223,Settings!$B$5,"")</f>
        <v/>
      </c>
      <c r="U223" s="2" t="str">
        <f aca="false">Calculations!M223</f>
        <v/>
      </c>
      <c r="V223" s="2" t="str">
        <f aca="false">IF(Calculations!A223,Settings!$B$5,"")</f>
        <v/>
      </c>
      <c r="W223" s="2" t="str">
        <f aca="false">Calculations!N223</f>
        <v/>
      </c>
      <c r="X223" s="1" t="str">
        <f aca="false">Calculations!O223</f>
        <v/>
      </c>
      <c r="Y223" s="1" t="str">
        <f aca="false">IF(Calculations!P223="","",Calculations!P223)</f>
        <v/>
      </c>
    </row>
    <row r="224" customFormat="false" ht="13.8" hidden="false" customHeight="false" outlineLevel="0" collapsed="false">
      <c r="A224" s="23"/>
      <c r="B224" s="23"/>
      <c r="C224" s="2" t="str">
        <f aca="false">IF(Calculations!A224,Dates!D224,"")</f>
        <v/>
      </c>
      <c r="D224" s="2" t="str">
        <f aca="false">IF(Calculations!A224,1,"")</f>
        <v/>
      </c>
      <c r="E224" s="2" t="str">
        <f aca="false">IF(Calculations!A224,Dates!I224,"")</f>
        <v/>
      </c>
      <c r="F224" s="2" t="str">
        <f aca="false">IF(Calculations!A224,Dates!J224,"")</f>
        <v/>
      </c>
      <c r="G224" s="11" t="str">
        <f aca="false">IF(Calculations!A224,Dates!K224,"")</f>
        <v/>
      </c>
      <c r="H224" s="2" t="str">
        <f aca="false">IF(Calculations!A224,Dates!H224,"")</f>
        <v/>
      </c>
      <c r="I224" s="12"/>
      <c r="J224" s="12"/>
      <c r="K224" s="2" t="n">
        <f aca="false">IF(ISNUMBER(I224),1,0)</f>
        <v>0</v>
      </c>
      <c r="L224" s="2"/>
      <c r="M224" s="2" t="str">
        <f aca="false">Calculations!I224</f>
        <v/>
      </c>
      <c r="N224" s="2" t="str">
        <f aca="false">IF(Calculations!A224,Settings!$B$5,"")</f>
        <v/>
      </c>
      <c r="O224" s="2" t="str">
        <f aca="false">Calculations!J224</f>
        <v/>
      </c>
      <c r="P224" s="2" t="str">
        <f aca="false">IF(Calculations!A224,Settings!$B$5,"")</f>
        <v/>
      </c>
      <c r="Q224" s="2" t="str">
        <f aca="false">Calculations!K224</f>
        <v/>
      </c>
      <c r="R224" s="2" t="str">
        <f aca="false">IF(Calculations!A224,Settings!$B$5,"")</f>
        <v/>
      </c>
      <c r="S224" s="2" t="str">
        <f aca="false">Calculations!L224</f>
        <v/>
      </c>
      <c r="T224" s="2" t="str">
        <f aca="false">IF(Calculations!A224,Settings!$B$5,"")</f>
        <v/>
      </c>
      <c r="U224" s="2" t="str">
        <f aca="false">Calculations!M224</f>
        <v/>
      </c>
      <c r="V224" s="2" t="str">
        <f aca="false">IF(Calculations!A224,Settings!$B$5,"")</f>
        <v/>
      </c>
      <c r="W224" s="2" t="str">
        <f aca="false">Calculations!N224</f>
        <v/>
      </c>
      <c r="X224" s="1" t="str">
        <f aca="false">Calculations!O224</f>
        <v/>
      </c>
      <c r="Y224" s="1" t="str">
        <f aca="false">IF(Calculations!P224="","",Calculations!P224)</f>
        <v/>
      </c>
    </row>
    <row r="225" customFormat="false" ht="13.8" hidden="false" customHeight="false" outlineLevel="0" collapsed="false">
      <c r="A225" s="23"/>
      <c r="B225" s="23"/>
      <c r="C225" s="2" t="str">
        <f aca="false">IF(Calculations!A225,Dates!D225,"")</f>
        <v/>
      </c>
      <c r="D225" s="2" t="str">
        <f aca="false">IF(Calculations!A225,1,"")</f>
        <v/>
      </c>
      <c r="E225" s="2" t="str">
        <f aca="false">IF(Calculations!A225,Dates!I225,"")</f>
        <v/>
      </c>
      <c r="F225" s="2" t="str">
        <f aca="false">IF(Calculations!A225,Dates!J225,"")</f>
        <v/>
      </c>
      <c r="G225" s="11" t="str">
        <f aca="false">IF(Calculations!A225,Dates!K225,"")</f>
        <v/>
      </c>
      <c r="H225" s="2" t="str">
        <f aca="false">IF(Calculations!A225,Dates!H225,"")</f>
        <v/>
      </c>
      <c r="I225" s="12"/>
      <c r="J225" s="12"/>
      <c r="K225" s="2" t="n">
        <f aca="false">IF(ISNUMBER(I225),1,0)</f>
        <v>0</v>
      </c>
      <c r="L225" s="2"/>
      <c r="M225" s="2" t="str">
        <f aca="false">Calculations!I225</f>
        <v/>
      </c>
      <c r="N225" s="2" t="str">
        <f aca="false">IF(Calculations!A225,Settings!$B$5,"")</f>
        <v/>
      </c>
      <c r="O225" s="2" t="str">
        <f aca="false">Calculations!J225</f>
        <v/>
      </c>
      <c r="P225" s="2" t="str">
        <f aca="false">IF(Calculations!A225,Settings!$B$5,"")</f>
        <v/>
      </c>
      <c r="Q225" s="2" t="str">
        <f aca="false">Calculations!K225</f>
        <v/>
      </c>
      <c r="R225" s="2" t="str">
        <f aca="false">IF(Calculations!A225,Settings!$B$5,"")</f>
        <v/>
      </c>
      <c r="S225" s="2" t="str">
        <f aca="false">Calculations!L225</f>
        <v/>
      </c>
      <c r="T225" s="2" t="str">
        <f aca="false">IF(Calculations!A225,Settings!$B$5,"")</f>
        <v/>
      </c>
      <c r="U225" s="2" t="str">
        <f aca="false">Calculations!M225</f>
        <v/>
      </c>
      <c r="V225" s="2" t="str">
        <f aca="false">IF(Calculations!A225,Settings!$B$5,"")</f>
        <v/>
      </c>
      <c r="W225" s="2" t="str">
        <f aca="false">Calculations!N225</f>
        <v/>
      </c>
      <c r="X225" s="1" t="str">
        <f aca="false">Calculations!O225</f>
        <v/>
      </c>
      <c r="Y225" s="1" t="str">
        <f aca="false">IF(Calculations!P225="","",Calculations!P225)</f>
        <v/>
      </c>
    </row>
    <row r="226" customFormat="false" ht="13.8" hidden="false" customHeight="false" outlineLevel="0" collapsed="false">
      <c r="A226" s="23"/>
      <c r="B226" s="23"/>
      <c r="C226" s="2" t="str">
        <f aca="false">IF(Calculations!A226,Dates!D226,"")</f>
        <v/>
      </c>
      <c r="D226" s="2" t="str">
        <f aca="false">IF(Calculations!A226,1,"")</f>
        <v/>
      </c>
      <c r="E226" s="2" t="str">
        <f aca="false">IF(Calculations!A226,Dates!I226,"")</f>
        <v/>
      </c>
      <c r="F226" s="2" t="str">
        <f aca="false">IF(Calculations!A226,Dates!J226,"")</f>
        <v/>
      </c>
      <c r="G226" s="11" t="str">
        <f aca="false">IF(Calculations!A226,Dates!K226,"")</f>
        <v/>
      </c>
      <c r="H226" s="2" t="str">
        <f aca="false">IF(Calculations!A226,Dates!H226,"")</f>
        <v/>
      </c>
      <c r="I226" s="12"/>
      <c r="J226" s="12"/>
      <c r="K226" s="2" t="n">
        <f aca="false">IF(ISNUMBER(I226),1,0)</f>
        <v>0</v>
      </c>
      <c r="L226" s="2"/>
      <c r="M226" s="2" t="str">
        <f aca="false">Calculations!I226</f>
        <v/>
      </c>
      <c r="N226" s="2" t="str">
        <f aca="false">IF(Calculations!A226,Settings!$B$5,"")</f>
        <v/>
      </c>
      <c r="O226" s="2" t="str">
        <f aca="false">Calculations!J226</f>
        <v/>
      </c>
      <c r="P226" s="2" t="str">
        <f aca="false">IF(Calculations!A226,Settings!$B$5,"")</f>
        <v/>
      </c>
      <c r="Q226" s="2" t="str">
        <f aca="false">Calculations!K226</f>
        <v/>
      </c>
      <c r="R226" s="2" t="str">
        <f aca="false">IF(Calculations!A226,Settings!$B$5,"")</f>
        <v/>
      </c>
      <c r="S226" s="2" t="str">
        <f aca="false">Calculations!L226</f>
        <v/>
      </c>
      <c r="T226" s="2" t="str">
        <f aca="false">IF(Calculations!A226,Settings!$B$5,"")</f>
        <v/>
      </c>
      <c r="U226" s="2" t="str">
        <f aca="false">Calculations!M226</f>
        <v/>
      </c>
      <c r="V226" s="2" t="str">
        <f aca="false">IF(Calculations!A226,Settings!$B$5,"")</f>
        <v/>
      </c>
      <c r="W226" s="2" t="str">
        <f aca="false">Calculations!N226</f>
        <v/>
      </c>
      <c r="X226" s="1" t="str">
        <f aca="false">Calculations!O226</f>
        <v/>
      </c>
      <c r="Y226" s="1" t="str">
        <f aca="false">IF(Calculations!P226="","",Calculations!P226)</f>
        <v/>
      </c>
    </row>
    <row r="227" customFormat="false" ht="13.8" hidden="false" customHeight="false" outlineLevel="0" collapsed="false">
      <c r="A227" s="23"/>
      <c r="B227" s="23"/>
      <c r="C227" s="2" t="str">
        <f aca="false">IF(Calculations!A227,Dates!D227,"")</f>
        <v/>
      </c>
      <c r="D227" s="2" t="str">
        <f aca="false">IF(Calculations!A227,1,"")</f>
        <v/>
      </c>
      <c r="E227" s="2" t="str">
        <f aca="false">IF(Calculations!A227,Dates!I227,"")</f>
        <v/>
      </c>
      <c r="F227" s="2" t="str">
        <f aca="false">IF(Calculations!A227,Dates!J227,"")</f>
        <v/>
      </c>
      <c r="G227" s="11" t="str">
        <f aca="false">IF(Calculations!A227,Dates!K227,"")</f>
        <v/>
      </c>
      <c r="H227" s="2" t="str">
        <f aca="false">IF(Calculations!A227,Dates!H227,"")</f>
        <v/>
      </c>
      <c r="I227" s="12"/>
      <c r="J227" s="12"/>
      <c r="K227" s="2" t="n">
        <f aca="false">IF(ISNUMBER(I227),1,0)</f>
        <v>0</v>
      </c>
      <c r="L227" s="2"/>
      <c r="M227" s="2" t="str">
        <f aca="false">Calculations!I227</f>
        <v/>
      </c>
      <c r="N227" s="2" t="str">
        <f aca="false">IF(Calculations!A227,Settings!$B$5,"")</f>
        <v/>
      </c>
      <c r="O227" s="2" t="str">
        <f aca="false">Calculations!J227</f>
        <v/>
      </c>
      <c r="P227" s="2" t="str">
        <f aca="false">IF(Calculations!A227,Settings!$B$5,"")</f>
        <v/>
      </c>
      <c r="Q227" s="2" t="str">
        <f aca="false">Calculations!K227</f>
        <v/>
      </c>
      <c r="R227" s="2" t="str">
        <f aca="false">IF(Calculations!A227,Settings!$B$5,"")</f>
        <v/>
      </c>
      <c r="S227" s="2" t="str">
        <f aca="false">Calculations!L227</f>
        <v/>
      </c>
      <c r="T227" s="2" t="str">
        <f aca="false">IF(Calculations!A227,Settings!$B$5,"")</f>
        <v/>
      </c>
      <c r="U227" s="2" t="str">
        <f aca="false">Calculations!M227</f>
        <v/>
      </c>
      <c r="V227" s="2" t="str">
        <f aca="false">IF(Calculations!A227,Settings!$B$5,"")</f>
        <v/>
      </c>
      <c r="W227" s="2" t="str">
        <f aca="false">Calculations!N227</f>
        <v/>
      </c>
      <c r="X227" s="1" t="str">
        <f aca="false">Calculations!O227</f>
        <v/>
      </c>
      <c r="Y227" s="1" t="str">
        <f aca="false">IF(Calculations!P227="","",Calculations!P227)</f>
        <v/>
      </c>
    </row>
    <row r="228" customFormat="false" ht="13.8" hidden="false" customHeight="false" outlineLevel="0" collapsed="false">
      <c r="A228" s="23"/>
      <c r="B228" s="23"/>
      <c r="C228" s="2" t="str">
        <f aca="false">IF(Calculations!A228,Dates!D228,"")</f>
        <v/>
      </c>
      <c r="D228" s="2" t="str">
        <f aca="false">IF(Calculations!A228,1,"")</f>
        <v/>
      </c>
      <c r="E228" s="2" t="str">
        <f aca="false">IF(Calculations!A228,Dates!I228,"")</f>
        <v/>
      </c>
      <c r="F228" s="2" t="str">
        <f aca="false">IF(Calculations!A228,Dates!J228,"")</f>
        <v/>
      </c>
      <c r="G228" s="11" t="str">
        <f aca="false">IF(Calculations!A228,Dates!K228,"")</f>
        <v/>
      </c>
      <c r="H228" s="2" t="str">
        <f aca="false">IF(Calculations!A228,Dates!H228,"")</f>
        <v/>
      </c>
      <c r="I228" s="12"/>
      <c r="J228" s="12"/>
      <c r="K228" s="2" t="n">
        <f aca="false">IF(ISNUMBER(I228),1,0)</f>
        <v>0</v>
      </c>
      <c r="L228" s="2"/>
      <c r="M228" s="2" t="str">
        <f aca="false">Calculations!I228</f>
        <v/>
      </c>
      <c r="N228" s="2" t="str">
        <f aca="false">IF(Calculations!A228,Settings!$B$5,"")</f>
        <v/>
      </c>
      <c r="O228" s="2" t="str">
        <f aca="false">Calculations!J228</f>
        <v/>
      </c>
      <c r="P228" s="2" t="str">
        <f aca="false">IF(Calculations!A228,Settings!$B$5,"")</f>
        <v/>
      </c>
      <c r="Q228" s="2" t="str">
        <f aca="false">Calculations!K228</f>
        <v/>
      </c>
      <c r="R228" s="2" t="str">
        <f aca="false">IF(Calculations!A228,Settings!$B$5,"")</f>
        <v/>
      </c>
      <c r="S228" s="2" t="str">
        <f aca="false">Calculations!L228</f>
        <v/>
      </c>
      <c r="T228" s="2" t="str">
        <f aca="false">IF(Calculations!A228,Settings!$B$5,"")</f>
        <v/>
      </c>
      <c r="U228" s="2" t="str">
        <f aca="false">Calculations!M228</f>
        <v/>
      </c>
      <c r="V228" s="2" t="str">
        <f aca="false">IF(Calculations!A228,Settings!$B$5,"")</f>
        <v/>
      </c>
      <c r="W228" s="2" t="str">
        <f aca="false">Calculations!N228</f>
        <v/>
      </c>
      <c r="X228" s="1" t="str">
        <f aca="false">Calculations!O228</f>
        <v/>
      </c>
      <c r="Y228" s="1" t="str">
        <f aca="false">IF(Calculations!P228="","",Calculations!P228)</f>
        <v/>
      </c>
    </row>
    <row r="229" customFormat="false" ht="13.8" hidden="false" customHeight="false" outlineLevel="0" collapsed="false">
      <c r="A229" s="23"/>
      <c r="B229" s="23"/>
      <c r="C229" s="2" t="str">
        <f aca="false">IF(Calculations!A229,Dates!D229,"")</f>
        <v/>
      </c>
      <c r="D229" s="2" t="str">
        <f aca="false">IF(Calculations!A229,1,"")</f>
        <v/>
      </c>
      <c r="E229" s="2" t="str">
        <f aca="false">IF(Calculations!A229,Dates!I229,"")</f>
        <v/>
      </c>
      <c r="F229" s="2" t="str">
        <f aca="false">IF(Calculations!A229,Dates!J229,"")</f>
        <v/>
      </c>
      <c r="G229" s="11" t="str">
        <f aca="false">IF(Calculations!A229,Dates!K229,"")</f>
        <v/>
      </c>
      <c r="H229" s="2" t="str">
        <f aca="false">IF(Calculations!A229,Dates!H229,"")</f>
        <v/>
      </c>
      <c r="I229" s="12"/>
      <c r="J229" s="12"/>
      <c r="K229" s="2" t="n">
        <f aca="false">IF(ISNUMBER(I229),1,0)</f>
        <v>0</v>
      </c>
      <c r="L229" s="2"/>
      <c r="M229" s="2" t="str">
        <f aca="false">Calculations!I229</f>
        <v/>
      </c>
      <c r="N229" s="2" t="str">
        <f aca="false">IF(Calculations!A229,Settings!$B$5,"")</f>
        <v/>
      </c>
      <c r="O229" s="2" t="str">
        <f aca="false">Calculations!J229</f>
        <v/>
      </c>
      <c r="P229" s="2" t="str">
        <f aca="false">IF(Calculations!A229,Settings!$B$5,"")</f>
        <v/>
      </c>
      <c r="Q229" s="2" t="str">
        <f aca="false">Calculations!K229</f>
        <v/>
      </c>
      <c r="R229" s="2" t="str">
        <f aca="false">IF(Calculations!A229,Settings!$B$5,"")</f>
        <v/>
      </c>
      <c r="S229" s="2" t="str">
        <f aca="false">Calculations!L229</f>
        <v/>
      </c>
      <c r="T229" s="2" t="str">
        <f aca="false">IF(Calculations!A229,Settings!$B$5,"")</f>
        <v/>
      </c>
      <c r="U229" s="2" t="str">
        <f aca="false">Calculations!M229</f>
        <v/>
      </c>
      <c r="V229" s="2" t="str">
        <f aca="false">IF(Calculations!A229,Settings!$B$5,"")</f>
        <v/>
      </c>
      <c r="W229" s="2" t="str">
        <f aca="false">Calculations!N229</f>
        <v/>
      </c>
      <c r="X229" s="1" t="str">
        <f aca="false">Calculations!O229</f>
        <v/>
      </c>
      <c r="Y229" s="1" t="str">
        <f aca="false">IF(Calculations!P229="","",Calculations!P229)</f>
        <v/>
      </c>
    </row>
    <row r="230" customFormat="false" ht="13.8" hidden="false" customHeight="false" outlineLevel="0" collapsed="false">
      <c r="A230" s="23"/>
      <c r="B230" s="23"/>
      <c r="C230" s="2" t="str">
        <f aca="false">IF(Calculations!A230,Dates!D230,"")</f>
        <v/>
      </c>
      <c r="D230" s="2" t="str">
        <f aca="false">IF(Calculations!A230,1,"")</f>
        <v/>
      </c>
      <c r="E230" s="2" t="str">
        <f aca="false">IF(Calculations!A230,Dates!I230,"")</f>
        <v/>
      </c>
      <c r="F230" s="2" t="str">
        <f aca="false">IF(Calculations!A230,Dates!J230,"")</f>
        <v/>
      </c>
      <c r="G230" s="11" t="str">
        <f aca="false">IF(Calculations!A230,Dates!K230,"")</f>
        <v/>
      </c>
      <c r="H230" s="2" t="str">
        <f aca="false">IF(Calculations!A230,Dates!H230,"")</f>
        <v/>
      </c>
      <c r="I230" s="12"/>
      <c r="J230" s="12"/>
      <c r="K230" s="2" t="n">
        <f aca="false">IF(ISNUMBER(I230),1,0)</f>
        <v>0</v>
      </c>
      <c r="L230" s="2"/>
      <c r="M230" s="2" t="str">
        <f aca="false">Calculations!I230</f>
        <v/>
      </c>
      <c r="N230" s="2" t="str">
        <f aca="false">IF(Calculations!A230,Settings!$B$5,"")</f>
        <v/>
      </c>
      <c r="O230" s="2" t="str">
        <f aca="false">Calculations!J230</f>
        <v/>
      </c>
      <c r="P230" s="2" t="str">
        <f aca="false">IF(Calculations!A230,Settings!$B$5,"")</f>
        <v/>
      </c>
      <c r="Q230" s="2" t="str">
        <f aca="false">Calculations!K230</f>
        <v/>
      </c>
      <c r="R230" s="2" t="str">
        <f aca="false">IF(Calculations!A230,Settings!$B$5,"")</f>
        <v/>
      </c>
      <c r="S230" s="2" t="str">
        <f aca="false">Calculations!L230</f>
        <v/>
      </c>
      <c r="T230" s="2" t="str">
        <f aca="false">IF(Calculations!A230,Settings!$B$5,"")</f>
        <v/>
      </c>
      <c r="U230" s="2" t="str">
        <f aca="false">Calculations!M230</f>
        <v/>
      </c>
      <c r="V230" s="2" t="str">
        <f aca="false">IF(Calculations!A230,Settings!$B$5,"")</f>
        <v/>
      </c>
      <c r="W230" s="2" t="str">
        <f aca="false">Calculations!N230</f>
        <v/>
      </c>
      <c r="X230" s="1" t="str">
        <f aca="false">Calculations!O230</f>
        <v/>
      </c>
      <c r="Y230" s="1" t="str">
        <f aca="false">IF(Calculations!P230="","",Calculations!P230)</f>
        <v/>
      </c>
    </row>
    <row r="231" customFormat="false" ht="13.8" hidden="false" customHeight="false" outlineLevel="0" collapsed="false">
      <c r="A231" s="23"/>
      <c r="B231" s="23"/>
      <c r="C231" s="2" t="str">
        <f aca="false">IF(Calculations!A231,Dates!D231,"")</f>
        <v/>
      </c>
      <c r="D231" s="2" t="str">
        <f aca="false">IF(Calculations!A231,1,"")</f>
        <v/>
      </c>
      <c r="E231" s="2" t="str">
        <f aca="false">IF(Calculations!A231,Dates!I231,"")</f>
        <v/>
      </c>
      <c r="F231" s="2" t="str">
        <f aca="false">IF(Calculations!A231,Dates!J231,"")</f>
        <v/>
      </c>
      <c r="G231" s="11" t="str">
        <f aca="false">IF(Calculations!A231,Dates!K231,"")</f>
        <v/>
      </c>
      <c r="H231" s="2" t="str">
        <f aca="false">IF(Calculations!A231,Dates!H231,"")</f>
        <v/>
      </c>
      <c r="I231" s="12"/>
      <c r="J231" s="12"/>
      <c r="K231" s="2" t="n">
        <f aca="false">IF(ISNUMBER(I231),1,0)</f>
        <v>0</v>
      </c>
      <c r="L231" s="2"/>
      <c r="M231" s="2" t="str">
        <f aca="false">Calculations!I231</f>
        <v/>
      </c>
      <c r="N231" s="2" t="str">
        <f aca="false">IF(Calculations!A231,Settings!$B$5,"")</f>
        <v/>
      </c>
      <c r="O231" s="2" t="str">
        <f aca="false">Calculations!J231</f>
        <v/>
      </c>
      <c r="P231" s="2" t="str">
        <f aca="false">IF(Calculations!A231,Settings!$B$5,"")</f>
        <v/>
      </c>
      <c r="Q231" s="2" t="str">
        <f aca="false">Calculations!K231</f>
        <v/>
      </c>
      <c r="R231" s="2" t="str">
        <f aca="false">IF(Calculations!A231,Settings!$B$5,"")</f>
        <v/>
      </c>
      <c r="S231" s="2" t="str">
        <f aca="false">Calculations!L231</f>
        <v/>
      </c>
      <c r="T231" s="2" t="str">
        <f aca="false">IF(Calculations!A231,Settings!$B$5,"")</f>
        <v/>
      </c>
      <c r="U231" s="2" t="str">
        <f aca="false">Calculations!M231</f>
        <v/>
      </c>
      <c r="V231" s="2" t="str">
        <f aca="false">IF(Calculations!A231,Settings!$B$5,"")</f>
        <v/>
      </c>
      <c r="W231" s="2" t="str">
        <f aca="false">Calculations!N231</f>
        <v/>
      </c>
      <c r="X231" s="1" t="str">
        <f aca="false">Calculations!O231</f>
        <v/>
      </c>
      <c r="Y231" s="1" t="str">
        <f aca="false">IF(Calculations!P231="","",Calculations!P231)</f>
        <v/>
      </c>
    </row>
    <row r="232" customFormat="false" ht="13.8" hidden="false" customHeight="false" outlineLevel="0" collapsed="false">
      <c r="A232" s="23"/>
      <c r="B232" s="23"/>
      <c r="C232" s="2" t="str">
        <f aca="false">IF(Calculations!A232,Dates!D232,"")</f>
        <v/>
      </c>
      <c r="D232" s="2" t="str">
        <f aca="false">IF(Calculations!A232,1,"")</f>
        <v/>
      </c>
      <c r="E232" s="2" t="str">
        <f aca="false">IF(Calculations!A232,Dates!I232,"")</f>
        <v/>
      </c>
      <c r="F232" s="2" t="str">
        <f aca="false">IF(Calculations!A232,Dates!J232,"")</f>
        <v/>
      </c>
      <c r="G232" s="11" t="str">
        <f aca="false">IF(Calculations!A232,Dates!K232,"")</f>
        <v/>
      </c>
      <c r="H232" s="2" t="str">
        <f aca="false">IF(Calculations!A232,Dates!H232,"")</f>
        <v/>
      </c>
      <c r="I232" s="12"/>
      <c r="J232" s="12"/>
      <c r="K232" s="2" t="n">
        <f aca="false">IF(ISNUMBER(I232),1,0)</f>
        <v>0</v>
      </c>
      <c r="L232" s="2"/>
      <c r="M232" s="2" t="str">
        <f aca="false">Calculations!I232</f>
        <v/>
      </c>
      <c r="N232" s="2" t="str">
        <f aca="false">IF(Calculations!A232,Settings!$B$5,"")</f>
        <v/>
      </c>
      <c r="O232" s="2" t="str">
        <f aca="false">Calculations!J232</f>
        <v/>
      </c>
      <c r="P232" s="2" t="str">
        <f aca="false">IF(Calculations!A232,Settings!$B$5,"")</f>
        <v/>
      </c>
      <c r="Q232" s="2" t="str">
        <f aca="false">Calculations!K232</f>
        <v/>
      </c>
      <c r="R232" s="2" t="str">
        <f aca="false">IF(Calculations!A232,Settings!$B$5,"")</f>
        <v/>
      </c>
      <c r="S232" s="2" t="str">
        <f aca="false">Calculations!L232</f>
        <v/>
      </c>
      <c r="T232" s="2" t="str">
        <f aca="false">IF(Calculations!A232,Settings!$B$5,"")</f>
        <v/>
      </c>
      <c r="U232" s="2" t="str">
        <f aca="false">Calculations!M232</f>
        <v/>
      </c>
      <c r="V232" s="2" t="str">
        <f aca="false">IF(Calculations!A232,Settings!$B$5,"")</f>
        <v/>
      </c>
      <c r="W232" s="2" t="str">
        <f aca="false">Calculations!N232</f>
        <v/>
      </c>
      <c r="X232" s="1" t="str">
        <f aca="false">Calculations!O232</f>
        <v/>
      </c>
      <c r="Y232" s="1" t="str">
        <f aca="false">IF(Calculations!P232="","",Calculations!P232)</f>
        <v/>
      </c>
    </row>
    <row r="233" customFormat="false" ht="13.8" hidden="false" customHeight="false" outlineLevel="0" collapsed="false">
      <c r="A233" s="23"/>
      <c r="B233" s="23"/>
      <c r="C233" s="2" t="str">
        <f aca="false">IF(Calculations!A233,Dates!D233,"")</f>
        <v/>
      </c>
      <c r="D233" s="2" t="str">
        <f aca="false">IF(Calculations!A233,1,"")</f>
        <v/>
      </c>
      <c r="E233" s="2" t="str">
        <f aca="false">IF(Calculations!A233,Dates!I233,"")</f>
        <v/>
      </c>
      <c r="F233" s="2" t="str">
        <f aca="false">IF(Calculations!A233,Dates!J233,"")</f>
        <v/>
      </c>
      <c r="G233" s="11" t="str">
        <f aca="false">IF(Calculations!A233,Dates!K233,"")</f>
        <v/>
      </c>
      <c r="H233" s="2" t="str">
        <f aca="false">IF(Calculations!A233,Dates!H233,"")</f>
        <v/>
      </c>
      <c r="I233" s="12"/>
      <c r="J233" s="12"/>
      <c r="K233" s="2" t="n">
        <f aca="false">IF(ISNUMBER(I233),1,0)</f>
        <v>0</v>
      </c>
      <c r="L233" s="2"/>
      <c r="M233" s="2" t="str">
        <f aca="false">Calculations!I233</f>
        <v/>
      </c>
      <c r="N233" s="2" t="str">
        <f aca="false">IF(Calculations!A233,Settings!$B$5,"")</f>
        <v/>
      </c>
      <c r="O233" s="2" t="str">
        <f aca="false">Calculations!J233</f>
        <v/>
      </c>
      <c r="P233" s="2" t="str">
        <f aca="false">IF(Calculations!A233,Settings!$B$5,"")</f>
        <v/>
      </c>
      <c r="Q233" s="2" t="str">
        <f aca="false">Calculations!K233</f>
        <v/>
      </c>
      <c r="R233" s="2" t="str">
        <f aca="false">IF(Calculations!A233,Settings!$B$5,"")</f>
        <v/>
      </c>
      <c r="S233" s="2" t="str">
        <f aca="false">Calculations!L233</f>
        <v/>
      </c>
      <c r="T233" s="2" t="str">
        <f aca="false">IF(Calculations!A233,Settings!$B$5,"")</f>
        <v/>
      </c>
      <c r="U233" s="2" t="str">
        <f aca="false">Calculations!M233</f>
        <v/>
      </c>
      <c r="V233" s="2" t="str">
        <f aca="false">IF(Calculations!A233,Settings!$B$5,"")</f>
        <v/>
      </c>
      <c r="W233" s="2" t="str">
        <f aca="false">Calculations!N233</f>
        <v/>
      </c>
      <c r="X233" s="1" t="str">
        <f aca="false">Calculations!O233</f>
        <v/>
      </c>
      <c r="Y233" s="1" t="str">
        <f aca="false">IF(Calculations!P233="","",Calculations!P233)</f>
        <v/>
      </c>
    </row>
    <row r="234" customFormat="false" ht="13.8" hidden="false" customHeight="false" outlineLevel="0" collapsed="false">
      <c r="A234" s="23"/>
      <c r="B234" s="23"/>
      <c r="C234" s="2" t="str">
        <f aca="false">IF(Calculations!A234,Dates!D234,"")</f>
        <v/>
      </c>
      <c r="D234" s="2" t="str">
        <f aca="false">IF(Calculations!A234,1,"")</f>
        <v/>
      </c>
      <c r="E234" s="2" t="str">
        <f aca="false">IF(Calculations!A234,Dates!I234,"")</f>
        <v/>
      </c>
      <c r="F234" s="2" t="str">
        <f aca="false">IF(Calculations!A234,Dates!J234,"")</f>
        <v/>
      </c>
      <c r="G234" s="11" t="str">
        <f aca="false">IF(Calculations!A234,Dates!K234,"")</f>
        <v/>
      </c>
      <c r="H234" s="2" t="str">
        <f aca="false">IF(Calculations!A234,Dates!H234,"")</f>
        <v/>
      </c>
      <c r="I234" s="12"/>
      <c r="J234" s="12"/>
      <c r="K234" s="2" t="n">
        <f aca="false">IF(ISNUMBER(I234),1,0)</f>
        <v>0</v>
      </c>
      <c r="L234" s="2"/>
      <c r="M234" s="2" t="str">
        <f aca="false">Calculations!I234</f>
        <v/>
      </c>
      <c r="N234" s="2" t="str">
        <f aca="false">IF(Calculations!A234,Settings!$B$5,"")</f>
        <v/>
      </c>
      <c r="O234" s="2" t="str">
        <f aca="false">Calculations!J234</f>
        <v/>
      </c>
      <c r="P234" s="2" t="str">
        <f aca="false">IF(Calculations!A234,Settings!$B$5,"")</f>
        <v/>
      </c>
      <c r="Q234" s="2" t="str">
        <f aca="false">Calculations!K234</f>
        <v/>
      </c>
      <c r="R234" s="2" t="str">
        <f aca="false">IF(Calculations!A234,Settings!$B$5,"")</f>
        <v/>
      </c>
      <c r="S234" s="2" t="str">
        <f aca="false">Calculations!L234</f>
        <v/>
      </c>
      <c r="T234" s="2" t="str">
        <f aca="false">IF(Calculations!A234,Settings!$B$5,"")</f>
        <v/>
      </c>
      <c r="U234" s="2" t="str">
        <f aca="false">Calculations!M234</f>
        <v/>
      </c>
      <c r="V234" s="2" t="str">
        <f aca="false">IF(Calculations!A234,Settings!$B$5,"")</f>
        <v/>
      </c>
      <c r="W234" s="2" t="str">
        <f aca="false">Calculations!N234</f>
        <v/>
      </c>
      <c r="X234" s="1" t="str">
        <f aca="false">Calculations!O234</f>
        <v/>
      </c>
      <c r="Y234" s="1" t="str">
        <f aca="false">IF(Calculations!P234="","",Calculations!P234)</f>
        <v/>
      </c>
    </row>
    <row r="235" customFormat="false" ht="13.8" hidden="false" customHeight="false" outlineLevel="0" collapsed="false">
      <c r="A235" s="23"/>
      <c r="B235" s="23"/>
      <c r="C235" s="2" t="str">
        <f aca="false">IF(Calculations!A235,Dates!D235,"")</f>
        <v/>
      </c>
      <c r="D235" s="2" t="str">
        <f aca="false">IF(Calculations!A235,1,"")</f>
        <v/>
      </c>
      <c r="E235" s="2" t="str">
        <f aca="false">IF(Calculations!A235,Dates!I235,"")</f>
        <v/>
      </c>
      <c r="F235" s="2" t="str">
        <f aca="false">IF(Calculations!A235,Dates!J235,"")</f>
        <v/>
      </c>
      <c r="G235" s="11" t="str">
        <f aca="false">IF(Calculations!A235,Dates!K235,"")</f>
        <v/>
      </c>
      <c r="H235" s="2" t="str">
        <f aca="false">IF(Calculations!A235,Dates!H235,"")</f>
        <v/>
      </c>
      <c r="I235" s="12"/>
      <c r="J235" s="12"/>
      <c r="K235" s="2" t="n">
        <f aca="false">IF(ISNUMBER(I235),1,0)</f>
        <v>0</v>
      </c>
      <c r="L235" s="2"/>
      <c r="M235" s="2" t="str">
        <f aca="false">Calculations!I235</f>
        <v/>
      </c>
      <c r="N235" s="2" t="str">
        <f aca="false">IF(Calculations!A235,Settings!$B$5,"")</f>
        <v/>
      </c>
      <c r="O235" s="2" t="str">
        <f aca="false">Calculations!J235</f>
        <v/>
      </c>
      <c r="P235" s="2" t="str">
        <f aca="false">IF(Calculations!A235,Settings!$B$5,"")</f>
        <v/>
      </c>
      <c r="Q235" s="2" t="str">
        <f aca="false">Calculations!K235</f>
        <v/>
      </c>
      <c r="R235" s="2" t="str">
        <f aca="false">IF(Calculations!A235,Settings!$B$5,"")</f>
        <v/>
      </c>
      <c r="S235" s="2" t="str">
        <f aca="false">Calculations!L235</f>
        <v/>
      </c>
      <c r="T235" s="2" t="str">
        <f aca="false">IF(Calculations!A235,Settings!$B$5,"")</f>
        <v/>
      </c>
      <c r="U235" s="2" t="str">
        <f aca="false">Calculations!M235</f>
        <v/>
      </c>
      <c r="V235" s="2" t="str">
        <f aca="false">IF(Calculations!A235,Settings!$B$5,"")</f>
        <v/>
      </c>
      <c r="W235" s="2" t="str">
        <f aca="false">Calculations!N235</f>
        <v/>
      </c>
      <c r="X235" s="1" t="str">
        <f aca="false">Calculations!O235</f>
        <v/>
      </c>
      <c r="Y235" s="1" t="str">
        <f aca="false">IF(Calculations!P235="","",Calculations!P235)</f>
        <v/>
      </c>
    </row>
    <row r="236" customFormat="false" ht="13.8" hidden="false" customHeight="false" outlineLevel="0" collapsed="false">
      <c r="A236" s="23"/>
      <c r="B236" s="23"/>
      <c r="C236" s="2" t="str">
        <f aca="false">IF(Calculations!A236,Dates!D236,"")</f>
        <v/>
      </c>
      <c r="D236" s="2" t="str">
        <f aca="false">IF(Calculations!A236,1,"")</f>
        <v/>
      </c>
      <c r="E236" s="2" t="str">
        <f aca="false">IF(Calculations!A236,Dates!I236,"")</f>
        <v/>
      </c>
      <c r="F236" s="2" t="str">
        <f aca="false">IF(Calculations!A236,Dates!J236,"")</f>
        <v/>
      </c>
      <c r="G236" s="11" t="str">
        <f aca="false">IF(Calculations!A236,Dates!K236,"")</f>
        <v/>
      </c>
      <c r="H236" s="2" t="str">
        <f aca="false">IF(Calculations!A236,Dates!H236,"")</f>
        <v/>
      </c>
      <c r="I236" s="12"/>
      <c r="J236" s="12"/>
      <c r="K236" s="2" t="n">
        <f aca="false">IF(ISNUMBER(I236),1,0)</f>
        <v>0</v>
      </c>
      <c r="L236" s="2"/>
      <c r="M236" s="2" t="str">
        <f aca="false">Calculations!I236</f>
        <v/>
      </c>
      <c r="N236" s="2" t="str">
        <f aca="false">IF(Calculations!A236,Settings!$B$5,"")</f>
        <v/>
      </c>
      <c r="O236" s="2" t="str">
        <f aca="false">Calculations!J236</f>
        <v/>
      </c>
      <c r="P236" s="2" t="str">
        <f aca="false">IF(Calculations!A236,Settings!$B$5,"")</f>
        <v/>
      </c>
      <c r="Q236" s="2" t="str">
        <f aca="false">Calculations!K236</f>
        <v/>
      </c>
      <c r="R236" s="2" t="str">
        <f aca="false">IF(Calculations!A236,Settings!$B$5,"")</f>
        <v/>
      </c>
      <c r="S236" s="2" t="str">
        <f aca="false">Calculations!L236</f>
        <v/>
      </c>
      <c r="T236" s="2" t="str">
        <f aca="false">IF(Calculations!A236,Settings!$B$5,"")</f>
        <v/>
      </c>
      <c r="U236" s="2" t="str">
        <f aca="false">Calculations!M236</f>
        <v/>
      </c>
      <c r="V236" s="2" t="str">
        <f aca="false">IF(Calculations!A236,Settings!$B$5,"")</f>
        <v/>
      </c>
      <c r="W236" s="2" t="str">
        <f aca="false">Calculations!N236</f>
        <v/>
      </c>
      <c r="X236" s="1" t="str">
        <f aca="false">Calculations!O236</f>
        <v/>
      </c>
      <c r="Y236" s="1" t="str">
        <f aca="false">IF(Calculations!P236="","",Calculations!P236)</f>
        <v/>
      </c>
    </row>
    <row r="237" customFormat="false" ht="13.8" hidden="false" customHeight="false" outlineLevel="0" collapsed="false">
      <c r="A237" s="23"/>
      <c r="B237" s="23"/>
      <c r="C237" s="2" t="str">
        <f aca="false">IF(Calculations!A237,Dates!D237,"")</f>
        <v/>
      </c>
      <c r="D237" s="2" t="str">
        <f aca="false">IF(Calculations!A237,1,"")</f>
        <v/>
      </c>
      <c r="E237" s="2" t="str">
        <f aca="false">IF(Calculations!A237,Dates!I237,"")</f>
        <v/>
      </c>
      <c r="F237" s="2" t="str">
        <f aca="false">IF(Calculations!A237,Dates!J237,"")</f>
        <v/>
      </c>
      <c r="G237" s="11" t="str">
        <f aca="false">IF(Calculations!A237,Dates!K237,"")</f>
        <v/>
      </c>
      <c r="H237" s="2" t="str">
        <f aca="false">IF(Calculations!A237,Dates!H237,"")</f>
        <v/>
      </c>
      <c r="I237" s="12"/>
      <c r="J237" s="12"/>
      <c r="K237" s="2" t="n">
        <f aca="false">IF(ISNUMBER(I237),1,0)</f>
        <v>0</v>
      </c>
      <c r="L237" s="2"/>
      <c r="M237" s="2" t="str">
        <f aca="false">Calculations!I237</f>
        <v/>
      </c>
      <c r="N237" s="2" t="str">
        <f aca="false">IF(Calculations!A237,Settings!$B$5,"")</f>
        <v/>
      </c>
      <c r="O237" s="2" t="str">
        <f aca="false">Calculations!J237</f>
        <v/>
      </c>
      <c r="P237" s="2" t="str">
        <f aca="false">IF(Calculations!A237,Settings!$B$5,"")</f>
        <v/>
      </c>
      <c r="Q237" s="2" t="str">
        <f aca="false">Calculations!K237</f>
        <v/>
      </c>
      <c r="R237" s="2" t="str">
        <f aca="false">IF(Calculations!A237,Settings!$B$5,"")</f>
        <v/>
      </c>
      <c r="S237" s="2" t="str">
        <f aca="false">Calculations!L237</f>
        <v/>
      </c>
      <c r="T237" s="2" t="str">
        <f aca="false">IF(Calculations!A237,Settings!$B$5,"")</f>
        <v/>
      </c>
      <c r="U237" s="2" t="str">
        <f aca="false">Calculations!M237</f>
        <v/>
      </c>
      <c r="V237" s="2" t="str">
        <f aca="false">IF(Calculations!A237,Settings!$B$5,"")</f>
        <v/>
      </c>
      <c r="W237" s="2" t="str">
        <f aca="false">Calculations!N237</f>
        <v/>
      </c>
      <c r="X237" s="1" t="str">
        <f aca="false">Calculations!O237</f>
        <v/>
      </c>
      <c r="Y237" s="1" t="str">
        <f aca="false">IF(Calculations!P237="","",Calculations!P237)</f>
        <v/>
      </c>
    </row>
    <row r="238" customFormat="false" ht="13.8" hidden="false" customHeight="false" outlineLevel="0" collapsed="false">
      <c r="A238" s="23"/>
      <c r="B238" s="23"/>
      <c r="C238" s="2" t="str">
        <f aca="false">IF(Calculations!A238,Dates!D238,"")</f>
        <v/>
      </c>
      <c r="D238" s="2" t="str">
        <f aca="false">IF(Calculations!A238,1,"")</f>
        <v/>
      </c>
      <c r="E238" s="2" t="str">
        <f aca="false">IF(Calculations!A238,Dates!I238,"")</f>
        <v/>
      </c>
      <c r="F238" s="2" t="str">
        <f aca="false">IF(Calculations!A238,Dates!J238,"")</f>
        <v/>
      </c>
      <c r="G238" s="11" t="str">
        <f aca="false">IF(Calculations!A238,Dates!K238,"")</f>
        <v/>
      </c>
      <c r="H238" s="2" t="str">
        <f aca="false">IF(Calculations!A238,Dates!H238,"")</f>
        <v/>
      </c>
      <c r="I238" s="12"/>
      <c r="J238" s="12"/>
      <c r="K238" s="2" t="n">
        <f aca="false">IF(ISNUMBER(I238),1,0)</f>
        <v>0</v>
      </c>
      <c r="L238" s="2"/>
      <c r="M238" s="2" t="str">
        <f aca="false">Calculations!I238</f>
        <v/>
      </c>
      <c r="N238" s="2" t="str">
        <f aca="false">IF(Calculations!A238,Settings!$B$5,"")</f>
        <v/>
      </c>
      <c r="O238" s="2" t="str">
        <f aca="false">Calculations!J238</f>
        <v/>
      </c>
      <c r="P238" s="2" t="str">
        <f aca="false">IF(Calculations!A238,Settings!$B$5,"")</f>
        <v/>
      </c>
      <c r="Q238" s="2" t="str">
        <f aca="false">Calculations!K238</f>
        <v/>
      </c>
      <c r="R238" s="2" t="str">
        <f aca="false">IF(Calculations!A238,Settings!$B$5,"")</f>
        <v/>
      </c>
      <c r="S238" s="2" t="str">
        <f aca="false">Calculations!L238</f>
        <v/>
      </c>
      <c r="T238" s="2" t="str">
        <f aca="false">IF(Calculations!A238,Settings!$B$5,"")</f>
        <v/>
      </c>
      <c r="U238" s="2" t="str">
        <f aca="false">Calculations!M238</f>
        <v/>
      </c>
      <c r="V238" s="2" t="str">
        <f aca="false">IF(Calculations!A238,Settings!$B$5,"")</f>
        <v/>
      </c>
      <c r="W238" s="2" t="str">
        <f aca="false">Calculations!N238</f>
        <v/>
      </c>
      <c r="X238" s="1" t="str">
        <f aca="false">Calculations!O238</f>
        <v/>
      </c>
      <c r="Y238" s="1" t="str">
        <f aca="false">IF(Calculations!P238="","",Calculations!P238)</f>
        <v/>
      </c>
    </row>
    <row r="239" customFormat="false" ht="13.8" hidden="false" customHeight="false" outlineLevel="0" collapsed="false">
      <c r="A239" s="23"/>
      <c r="B239" s="23"/>
      <c r="C239" s="2" t="str">
        <f aca="false">IF(Calculations!A239,Dates!D239,"")</f>
        <v/>
      </c>
      <c r="D239" s="2" t="str">
        <f aca="false">IF(Calculations!A239,1,"")</f>
        <v/>
      </c>
      <c r="E239" s="2" t="str">
        <f aca="false">IF(Calculations!A239,Dates!I239,"")</f>
        <v/>
      </c>
      <c r="F239" s="2" t="str">
        <f aca="false">IF(Calculations!A239,Dates!J239,"")</f>
        <v/>
      </c>
      <c r="G239" s="11" t="str">
        <f aca="false">IF(Calculations!A239,Dates!K239,"")</f>
        <v/>
      </c>
      <c r="H239" s="2" t="str">
        <f aca="false">IF(Calculations!A239,Dates!H239,"")</f>
        <v/>
      </c>
      <c r="I239" s="12"/>
      <c r="J239" s="12"/>
      <c r="K239" s="2" t="n">
        <f aca="false">IF(ISNUMBER(I239),1,0)</f>
        <v>0</v>
      </c>
      <c r="L239" s="2"/>
      <c r="M239" s="2" t="str">
        <f aca="false">Calculations!I239</f>
        <v/>
      </c>
      <c r="N239" s="2" t="str">
        <f aca="false">IF(Calculations!A239,Settings!$B$5,"")</f>
        <v/>
      </c>
      <c r="O239" s="2" t="str">
        <f aca="false">Calculations!J239</f>
        <v/>
      </c>
      <c r="P239" s="2" t="str">
        <f aca="false">IF(Calculations!A239,Settings!$B$5,"")</f>
        <v/>
      </c>
      <c r="Q239" s="2" t="str">
        <f aca="false">Calculations!K239</f>
        <v/>
      </c>
      <c r="R239" s="2" t="str">
        <f aca="false">IF(Calculations!A239,Settings!$B$5,"")</f>
        <v/>
      </c>
      <c r="S239" s="2" t="str">
        <f aca="false">Calculations!L239</f>
        <v/>
      </c>
      <c r="T239" s="2" t="str">
        <f aca="false">IF(Calculations!A239,Settings!$B$5,"")</f>
        <v/>
      </c>
      <c r="U239" s="2" t="str">
        <f aca="false">Calculations!M239</f>
        <v/>
      </c>
      <c r="V239" s="2" t="str">
        <f aca="false">IF(Calculations!A239,Settings!$B$5,"")</f>
        <v/>
      </c>
      <c r="W239" s="2" t="str">
        <f aca="false">Calculations!N239</f>
        <v/>
      </c>
      <c r="X239" s="1" t="str">
        <f aca="false">Calculations!O239</f>
        <v/>
      </c>
      <c r="Y239" s="1" t="str">
        <f aca="false">IF(Calculations!P239="","",Calculations!P239)</f>
        <v/>
      </c>
    </row>
    <row r="240" customFormat="false" ht="13.8" hidden="false" customHeight="false" outlineLevel="0" collapsed="false">
      <c r="A240" s="23"/>
      <c r="B240" s="23"/>
      <c r="C240" s="2" t="str">
        <f aca="false">IF(Calculations!A240,Dates!D240,"")</f>
        <v/>
      </c>
      <c r="D240" s="2" t="str">
        <f aca="false">IF(Calculations!A240,1,"")</f>
        <v/>
      </c>
      <c r="E240" s="2" t="str">
        <f aca="false">IF(Calculations!A240,Dates!I240,"")</f>
        <v/>
      </c>
      <c r="F240" s="2" t="str">
        <f aca="false">IF(Calculations!A240,Dates!J240,"")</f>
        <v/>
      </c>
      <c r="G240" s="11" t="str">
        <f aca="false">IF(Calculations!A240,Dates!K240,"")</f>
        <v/>
      </c>
      <c r="H240" s="2" t="str">
        <f aca="false">IF(Calculations!A240,Dates!H240,"")</f>
        <v/>
      </c>
      <c r="I240" s="12"/>
      <c r="J240" s="12"/>
      <c r="K240" s="2" t="n">
        <f aca="false">IF(ISNUMBER(I240),1,0)</f>
        <v>0</v>
      </c>
      <c r="L240" s="2"/>
      <c r="M240" s="2" t="str">
        <f aca="false">Calculations!I240</f>
        <v/>
      </c>
      <c r="N240" s="2" t="str">
        <f aca="false">IF(Calculations!A240,Settings!$B$5,"")</f>
        <v/>
      </c>
      <c r="O240" s="2" t="str">
        <f aca="false">Calculations!J240</f>
        <v/>
      </c>
      <c r="P240" s="2" t="str">
        <f aca="false">IF(Calculations!A240,Settings!$B$5,"")</f>
        <v/>
      </c>
      <c r="Q240" s="2" t="str">
        <f aca="false">Calculations!K240</f>
        <v/>
      </c>
      <c r="R240" s="2" t="str">
        <f aca="false">IF(Calculations!A240,Settings!$B$5,"")</f>
        <v/>
      </c>
      <c r="S240" s="2" t="str">
        <f aca="false">Calculations!L240</f>
        <v/>
      </c>
      <c r="T240" s="2" t="str">
        <f aca="false">IF(Calculations!A240,Settings!$B$5,"")</f>
        <v/>
      </c>
      <c r="U240" s="2" t="str">
        <f aca="false">Calculations!M240</f>
        <v/>
      </c>
      <c r="V240" s="2" t="str">
        <f aca="false">IF(Calculations!A240,Settings!$B$5,"")</f>
        <v/>
      </c>
      <c r="W240" s="2" t="str">
        <f aca="false">Calculations!N240</f>
        <v/>
      </c>
      <c r="X240" s="1" t="str">
        <f aca="false">Calculations!O240</f>
        <v/>
      </c>
      <c r="Y240" s="1" t="str">
        <f aca="false">IF(Calculations!P240="","",Calculations!P240)</f>
        <v/>
      </c>
    </row>
    <row r="241" customFormat="false" ht="13.8" hidden="false" customHeight="false" outlineLevel="0" collapsed="false">
      <c r="A241" s="23"/>
      <c r="B241" s="23"/>
      <c r="C241" s="2" t="str">
        <f aca="false">IF(Calculations!A241,Dates!D241,"")</f>
        <v/>
      </c>
      <c r="D241" s="2" t="str">
        <f aca="false">IF(Calculations!A241,1,"")</f>
        <v/>
      </c>
      <c r="E241" s="2" t="str">
        <f aca="false">IF(Calculations!A241,Dates!I241,"")</f>
        <v/>
      </c>
      <c r="F241" s="2" t="str">
        <f aca="false">IF(Calculations!A241,Dates!J241,"")</f>
        <v/>
      </c>
      <c r="G241" s="11" t="str">
        <f aca="false">IF(Calculations!A241,Dates!K241,"")</f>
        <v/>
      </c>
      <c r="H241" s="2" t="str">
        <f aca="false">IF(Calculations!A241,Dates!H241,"")</f>
        <v/>
      </c>
      <c r="I241" s="12"/>
      <c r="J241" s="12"/>
      <c r="K241" s="2" t="n">
        <f aca="false">IF(ISNUMBER(I241),1,0)</f>
        <v>0</v>
      </c>
      <c r="L241" s="2"/>
      <c r="M241" s="2" t="str">
        <f aca="false">Calculations!I241</f>
        <v/>
      </c>
      <c r="N241" s="2" t="str">
        <f aca="false">IF(Calculations!A241,Settings!$B$5,"")</f>
        <v/>
      </c>
      <c r="O241" s="2" t="str">
        <f aca="false">Calculations!J241</f>
        <v/>
      </c>
      <c r="P241" s="2" t="str">
        <f aca="false">IF(Calculations!A241,Settings!$B$5,"")</f>
        <v/>
      </c>
      <c r="Q241" s="2" t="str">
        <f aca="false">Calculations!K241</f>
        <v/>
      </c>
      <c r="R241" s="2" t="str">
        <f aca="false">IF(Calculations!A241,Settings!$B$5,"")</f>
        <v/>
      </c>
      <c r="S241" s="2" t="str">
        <f aca="false">Calculations!L241</f>
        <v/>
      </c>
      <c r="T241" s="2" t="str">
        <f aca="false">IF(Calculations!A241,Settings!$B$5,"")</f>
        <v/>
      </c>
      <c r="U241" s="2" t="str">
        <f aca="false">Calculations!M241</f>
        <v/>
      </c>
      <c r="V241" s="2" t="str">
        <f aca="false">IF(Calculations!A241,Settings!$B$5,"")</f>
        <v/>
      </c>
      <c r="W241" s="2" t="str">
        <f aca="false">Calculations!N241</f>
        <v/>
      </c>
      <c r="X241" s="1" t="str">
        <f aca="false">Calculations!O241</f>
        <v/>
      </c>
      <c r="Y241" s="1" t="str">
        <f aca="false">IF(Calculations!P241="","",Calculations!P241)</f>
        <v/>
      </c>
    </row>
    <row r="242" customFormat="false" ht="13.8" hidden="false" customHeight="false" outlineLevel="0" collapsed="false">
      <c r="A242" s="23"/>
      <c r="B242" s="23"/>
      <c r="C242" s="2" t="str">
        <f aca="false">IF(Calculations!A242,Dates!D242,"")</f>
        <v/>
      </c>
      <c r="D242" s="2" t="str">
        <f aca="false">IF(Calculations!A242,1,"")</f>
        <v/>
      </c>
      <c r="E242" s="2" t="str">
        <f aca="false">IF(Calculations!A242,Dates!I242,"")</f>
        <v/>
      </c>
      <c r="F242" s="2" t="str">
        <f aca="false">IF(Calculations!A242,Dates!J242,"")</f>
        <v/>
      </c>
      <c r="G242" s="11" t="str">
        <f aca="false">IF(Calculations!A242,Dates!K242,"")</f>
        <v/>
      </c>
      <c r="H242" s="2" t="str">
        <f aca="false">IF(Calculations!A242,Dates!H242,"")</f>
        <v/>
      </c>
      <c r="I242" s="12"/>
      <c r="J242" s="12"/>
      <c r="K242" s="2" t="n">
        <f aca="false">IF(ISNUMBER(I242),1,0)</f>
        <v>0</v>
      </c>
      <c r="L242" s="2"/>
      <c r="M242" s="2" t="str">
        <f aca="false">Calculations!I242</f>
        <v/>
      </c>
      <c r="N242" s="2" t="str">
        <f aca="false">IF(Calculations!A242,Settings!$B$5,"")</f>
        <v/>
      </c>
      <c r="O242" s="2" t="str">
        <f aca="false">Calculations!J242</f>
        <v/>
      </c>
      <c r="P242" s="2" t="str">
        <f aca="false">IF(Calculations!A242,Settings!$B$5,"")</f>
        <v/>
      </c>
      <c r="Q242" s="2" t="str">
        <f aca="false">Calculations!K242</f>
        <v/>
      </c>
      <c r="R242" s="2" t="str">
        <f aca="false">IF(Calculations!A242,Settings!$B$5,"")</f>
        <v/>
      </c>
      <c r="S242" s="2" t="str">
        <f aca="false">Calculations!L242</f>
        <v/>
      </c>
      <c r="T242" s="2" t="str">
        <f aca="false">IF(Calculations!A242,Settings!$B$5,"")</f>
        <v/>
      </c>
      <c r="U242" s="2" t="str">
        <f aca="false">Calculations!M242</f>
        <v/>
      </c>
      <c r="V242" s="2" t="str">
        <f aca="false">IF(Calculations!A242,Settings!$B$5,"")</f>
        <v/>
      </c>
      <c r="W242" s="2" t="str">
        <f aca="false">Calculations!N242</f>
        <v/>
      </c>
      <c r="X242" s="1" t="str">
        <f aca="false">Calculations!O242</f>
        <v/>
      </c>
      <c r="Y242" s="1" t="str">
        <f aca="false">IF(Calculations!P242="","",Calculations!P242)</f>
        <v/>
      </c>
    </row>
    <row r="243" customFormat="false" ht="13.8" hidden="false" customHeight="false" outlineLevel="0" collapsed="false">
      <c r="A243" s="23"/>
      <c r="B243" s="23"/>
      <c r="C243" s="2" t="str">
        <f aca="false">IF(Calculations!A243,Dates!D243,"")</f>
        <v/>
      </c>
      <c r="D243" s="2" t="str">
        <f aca="false">IF(Calculations!A243,1,"")</f>
        <v/>
      </c>
      <c r="E243" s="2" t="str">
        <f aca="false">IF(Calculations!A243,Dates!I243,"")</f>
        <v/>
      </c>
      <c r="F243" s="2" t="str">
        <f aca="false">IF(Calculations!A243,Dates!J243,"")</f>
        <v/>
      </c>
      <c r="G243" s="11" t="str">
        <f aca="false">IF(Calculations!A243,Dates!K243,"")</f>
        <v/>
      </c>
      <c r="H243" s="2" t="str">
        <f aca="false">IF(Calculations!A243,Dates!H243,"")</f>
        <v/>
      </c>
      <c r="I243" s="12"/>
      <c r="J243" s="12"/>
      <c r="K243" s="2" t="n">
        <f aca="false">IF(ISNUMBER(I243),1,0)</f>
        <v>0</v>
      </c>
      <c r="L243" s="2"/>
      <c r="M243" s="2" t="str">
        <f aca="false">Calculations!I243</f>
        <v/>
      </c>
      <c r="N243" s="2" t="str">
        <f aca="false">IF(Calculations!A243,Settings!$B$5,"")</f>
        <v/>
      </c>
      <c r="O243" s="2" t="str">
        <f aca="false">Calculations!J243</f>
        <v/>
      </c>
      <c r="P243" s="2" t="str">
        <f aca="false">IF(Calculations!A243,Settings!$B$5,"")</f>
        <v/>
      </c>
      <c r="Q243" s="2" t="str">
        <f aca="false">Calculations!K243</f>
        <v/>
      </c>
      <c r="R243" s="2" t="str">
        <f aca="false">IF(Calculations!A243,Settings!$B$5,"")</f>
        <v/>
      </c>
      <c r="S243" s="2" t="str">
        <f aca="false">Calculations!L243</f>
        <v/>
      </c>
      <c r="T243" s="2" t="str">
        <f aca="false">IF(Calculations!A243,Settings!$B$5,"")</f>
        <v/>
      </c>
      <c r="U243" s="2" t="str">
        <f aca="false">Calculations!M243</f>
        <v/>
      </c>
      <c r="V243" s="2" t="str">
        <f aca="false">IF(Calculations!A243,Settings!$B$5,"")</f>
        <v/>
      </c>
      <c r="W243" s="2" t="str">
        <f aca="false">Calculations!N243</f>
        <v/>
      </c>
      <c r="X243" s="1" t="str">
        <f aca="false">Calculations!O243</f>
        <v/>
      </c>
      <c r="Y243" s="1" t="str">
        <f aca="false">IF(Calculations!P243="","",Calculations!P243)</f>
        <v/>
      </c>
    </row>
    <row r="244" customFormat="false" ht="13.8" hidden="false" customHeight="false" outlineLevel="0" collapsed="false">
      <c r="A244" s="23"/>
      <c r="B244" s="23"/>
      <c r="C244" s="2" t="str">
        <f aca="false">IF(Calculations!A244,Dates!D244,"")</f>
        <v/>
      </c>
      <c r="D244" s="2" t="str">
        <f aca="false">IF(Calculations!A244,1,"")</f>
        <v/>
      </c>
      <c r="E244" s="2" t="str">
        <f aca="false">IF(Calculations!A244,Dates!I244,"")</f>
        <v/>
      </c>
      <c r="F244" s="2" t="str">
        <f aca="false">IF(Calculations!A244,Dates!J244,"")</f>
        <v/>
      </c>
      <c r="G244" s="11" t="str">
        <f aca="false">IF(Calculations!A244,Dates!K244,"")</f>
        <v/>
      </c>
      <c r="H244" s="2" t="str">
        <f aca="false">IF(Calculations!A244,Dates!H244,"")</f>
        <v/>
      </c>
      <c r="I244" s="12"/>
      <c r="J244" s="12"/>
      <c r="K244" s="2" t="n">
        <f aca="false">IF(ISNUMBER(I244),1,0)</f>
        <v>0</v>
      </c>
      <c r="L244" s="2"/>
      <c r="M244" s="2" t="str">
        <f aca="false">Calculations!I244</f>
        <v/>
      </c>
      <c r="N244" s="2" t="str">
        <f aca="false">IF(Calculations!A244,Settings!$B$5,"")</f>
        <v/>
      </c>
      <c r="O244" s="2" t="str">
        <f aca="false">Calculations!J244</f>
        <v/>
      </c>
      <c r="P244" s="2" t="str">
        <f aca="false">IF(Calculations!A244,Settings!$B$5,"")</f>
        <v/>
      </c>
      <c r="Q244" s="2" t="str">
        <f aca="false">Calculations!K244</f>
        <v/>
      </c>
      <c r="R244" s="2" t="str">
        <f aca="false">IF(Calculations!A244,Settings!$B$5,"")</f>
        <v/>
      </c>
      <c r="S244" s="2" t="str">
        <f aca="false">Calculations!L244</f>
        <v/>
      </c>
      <c r="T244" s="2" t="str">
        <f aca="false">IF(Calculations!A244,Settings!$B$5,"")</f>
        <v/>
      </c>
      <c r="U244" s="2" t="str">
        <f aca="false">Calculations!M244</f>
        <v/>
      </c>
      <c r="V244" s="2" t="str">
        <f aca="false">IF(Calculations!A244,Settings!$B$5,"")</f>
        <v/>
      </c>
      <c r="W244" s="2" t="str">
        <f aca="false">Calculations!N244</f>
        <v/>
      </c>
      <c r="X244" s="1" t="str">
        <f aca="false">Calculations!O244</f>
        <v/>
      </c>
      <c r="Y244" s="1" t="str">
        <f aca="false">IF(Calculations!P244="","",Calculations!P244)</f>
        <v/>
      </c>
    </row>
    <row r="245" customFormat="false" ht="13.8" hidden="false" customHeight="false" outlineLevel="0" collapsed="false">
      <c r="A245" s="23"/>
      <c r="B245" s="23"/>
      <c r="C245" s="2" t="str">
        <f aca="false">IF(Calculations!A245,Dates!D245,"")</f>
        <v/>
      </c>
      <c r="D245" s="2" t="str">
        <f aca="false">IF(Calculations!A245,1,"")</f>
        <v/>
      </c>
      <c r="E245" s="2" t="str">
        <f aca="false">IF(Calculations!A245,Dates!I245,"")</f>
        <v/>
      </c>
      <c r="F245" s="2" t="str">
        <f aca="false">IF(Calculations!A245,Dates!J245,"")</f>
        <v/>
      </c>
      <c r="G245" s="11" t="str">
        <f aca="false">IF(Calculations!A245,Dates!K245,"")</f>
        <v/>
      </c>
      <c r="H245" s="2" t="str">
        <f aca="false">IF(Calculations!A245,Dates!H245,"")</f>
        <v/>
      </c>
      <c r="I245" s="12"/>
      <c r="J245" s="12"/>
      <c r="K245" s="2" t="n">
        <f aca="false">IF(ISNUMBER(I245),1,0)</f>
        <v>0</v>
      </c>
      <c r="L245" s="2"/>
      <c r="M245" s="2" t="str">
        <f aca="false">Calculations!I245</f>
        <v/>
      </c>
      <c r="N245" s="2" t="str">
        <f aca="false">IF(Calculations!A245,Settings!$B$5,"")</f>
        <v/>
      </c>
      <c r="O245" s="2" t="str">
        <f aca="false">Calculations!J245</f>
        <v/>
      </c>
      <c r="P245" s="2" t="str">
        <f aca="false">IF(Calculations!A245,Settings!$B$5,"")</f>
        <v/>
      </c>
      <c r="Q245" s="2" t="str">
        <f aca="false">Calculations!K245</f>
        <v/>
      </c>
      <c r="R245" s="2" t="str">
        <f aca="false">IF(Calculations!A245,Settings!$B$5,"")</f>
        <v/>
      </c>
      <c r="S245" s="2" t="str">
        <f aca="false">Calculations!L245</f>
        <v/>
      </c>
      <c r="T245" s="2" t="str">
        <f aca="false">IF(Calculations!A245,Settings!$B$5,"")</f>
        <v/>
      </c>
      <c r="U245" s="2" t="str">
        <f aca="false">Calculations!M245</f>
        <v/>
      </c>
      <c r="V245" s="2" t="str">
        <f aca="false">IF(Calculations!A245,Settings!$B$5,"")</f>
        <v/>
      </c>
      <c r="W245" s="2" t="str">
        <f aca="false">Calculations!N245</f>
        <v/>
      </c>
      <c r="X245" s="1" t="str">
        <f aca="false">Calculations!O245</f>
        <v/>
      </c>
      <c r="Y245" s="1" t="str">
        <f aca="false">IF(Calculations!P245="","",Calculations!P245)</f>
        <v/>
      </c>
    </row>
    <row r="246" customFormat="false" ht="13.8" hidden="false" customHeight="false" outlineLevel="0" collapsed="false">
      <c r="A246" s="23"/>
      <c r="B246" s="23"/>
      <c r="C246" s="2" t="str">
        <f aca="false">IF(Calculations!A246,Dates!D246,"")</f>
        <v/>
      </c>
      <c r="D246" s="2" t="str">
        <f aca="false">IF(Calculations!A246,1,"")</f>
        <v/>
      </c>
      <c r="E246" s="2" t="str">
        <f aca="false">IF(Calculations!A246,Dates!I246,"")</f>
        <v/>
      </c>
      <c r="F246" s="2" t="str">
        <f aca="false">IF(Calculations!A246,Dates!J246,"")</f>
        <v/>
      </c>
      <c r="G246" s="11" t="str">
        <f aca="false">IF(Calculations!A246,Dates!K246,"")</f>
        <v/>
      </c>
      <c r="H246" s="2" t="str">
        <f aca="false">IF(Calculations!A246,Dates!H246,"")</f>
        <v/>
      </c>
      <c r="I246" s="12"/>
      <c r="J246" s="12"/>
      <c r="K246" s="2" t="n">
        <f aca="false">IF(ISNUMBER(I246),1,0)</f>
        <v>0</v>
      </c>
      <c r="L246" s="2"/>
      <c r="M246" s="2" t="str">
        <f aca="false">Calculations!I246</f>
        <v/>
      </c>
      <c r="N246" s="2" t="str">
        <f aca="false">IF(Calculations!A246,Settings!$B$5,"")</f>
        <v/>
      </c>
      <c r="O246" s="2" t="str">
        <f aca="false">Calculations!J246</f>
        <v/>
      </c>
      <c r="P246" s="2" t="str">
        <f aca="false">IF(Calculations!A246,Settings!$B$5,"")</f>
        <v/>
      </c>
      <c r="Q246" s="2" t="str">
        <f aca="false">Calculations!K246</f>
        <v/>
      </c>
      <c r="R246" s="2" t="str">
        <f aca="false">IF(Calculations!A246,Settings!$B$5,"")</f>
        <v/>
      </c>
      <c r="S246" s="2" t="str">
        <f aca="false">Calculations!L246</f>
        <v/>
      </c>
      <c r="T246" s="2" t="str">
        <f aca="false">IF(Calculations!A246,Settings!$B$5,"")</f>
        <v/>
      </c>
      <c r="U246" s="2" t="str">
        <f aca="false">Calculations!M246</f>
        <v/>
      </c>
      <c r="V246" s="2" t="str">
        <f aca="false">IF(Calculations!A246,Settings!$B$5,"")</f>
        <v/>
      </c>
      <c r="W246" s="2" t="str">
        <f aca="false">Calculations!N246</f>
        <v/>
      </c>
      <c r="X246" s="1" t="str">
        <f aca="false">Calculations!O246</f>
        <v/>
      </c>
      <c r="Y246" s="1" t="str">
        <f aca="false">IF(Calculations!P246="","",Calculations!P246)</f>
        <v/>
      </c>
    </row>
    <row r="247" customFormat="false" ht="13.8" hidden="false" customHeight="false" outlineLevel="0" collapsed="false">
      <c r="A247" s="23"/>
      <c r="B247" s="23"/>
      <c r="C247" s="2" t="str">
        <f aca="false">IF(Calculations!A247,Dates!D247,"")</f>
        <v/>
      </c>
      <c r="D247" s="2" t="str">
        <f aca="false">IF(Calculations!A247,1,"")</f>
        <v/>
      </c>
      <c r="E247" s="2" t="str">
        <f aca="false">IF(Calculations!A247,Dates!I247,"")</f>
        <v/>
      </c>
      <c r="F247" s="2" t="str">
        <f aca="false">IF(Calculations!A247,Dates!J247,"")</f>
        <v/>
      </c>
      <c r="G247" s="11" t="str">
        <f aca="false">IF(Calculations!A247,Dates!K247,"")</f>
        <v/>
      </c>
      <c r="H247" s="2" t="str">
        <f aca="false">IF(Calculations!A247,Dates!H247,"")</f>
        <v/>
      </c>
      <c r="I247" s="12"/>
      <c r="J247" s="12"/>
      <c r="K247" s="2" t="n">
        <f aca="false">IF(ISNUMBER(I247),1,0)</f>
        <v>0</v>
      </c>
      <c r="L247" s="2"/>
      <c r="M247" s="2" t="str">
        <f aca="false">Calculations!I247</f>
        <v/>
      </c>
      <c r="N247" s="2" t="str">
        <f aca="false">IF(Calculations!A247,Settings!$B$5,"")</f>
        <v/>
      </c>
      <c r="O247" s="2" t="str">
        <f aca="false">Calculations!J247</f>
        <v/>
      </c>
      <c r="P247" s="2" t="str">
        <f aca="false">IF(Calculations!A247,Settings!$B$5,"")</f>
        <v/>
      </c>
      <c r="Q247" s="2" t="str">
        <f aca="false">Calculations!K247</f>
        <v/>
      </c>
      <c r="R247" s="2" t="str">
        <f aca="false">IF(Calculations!A247,Settings!$B$5,"")</f>
        <v/>
      </c>
      <c r="S247" s="2" t="str">
        <f aca="false">Calculations!L247</f>
        <v/>
      </c>
      <c r="T247" s="2" t="str">
        <f aca="false">IF(Calculations!A247,Settings!$B$5,"")</f>
        <v/>
      </c>
      <c r="U247" s="2" t="str">
        <f aca="false">Calculations!M247</f>
        <v/>
      </c>
      <c r="V247" s="2" t="str">
        <f aca="false">IF(Calculations!A247,Settings!$B$5,"")</f>
        <v/>
      </c>
      <c r="W247" s="2" t="str">
        <f aca="false">Calculations!N247</f>
        <v/>
      </c>
      <c r="X247" s="1" t="str">
        <f aca="false">Calculations!O247</f>
        <v/>
      </c>
      <c r="Y247" s="1" t="str">
        <f aca="false">IF(Calculations!P247="","",Calculations!P247)</f>
        <v/>
      </c>
    </row>
    <row r="248" customFormat="false" ht="13.8" hidden="false" customHeight="false" outlineLevel="0" collapsed="false">
      <c r="A248" s="23"/>
      <c r="B248" s="23"/>
      <c r="C248" s="2" t="str">
        <f aca="false">IF(Calculations!A248,Dates!D248,"")</f>
        <v/>
      </c>
      <c r="D248" s="2" t="str">
        <f aca="false">IF(Calculations!A248,1,"")</f>
        <v/>
      </c>
      <c r="E248" s="2" t="str">
        <f aca="false">IF(Calculations!A248,Dates!I248,"")</f>
        <v/>
      </c>
      <c r="F248" s="2" t="str">
        <f aca="false">IF(Calculations!A248,Dates!J248,"")</f>
        <v/>
      </c>
      <c r="G248" s="11" t="str">
        <f aca="false">IF(Calculations!A248,Dates!K248,"")</f>
        <v/>
      </c>
      <c r="H248" s="2" t="str">
        <f aca="false">IF(Calculations!A248,Dates!H248,"")</f>
        <v/>
      </c>
      <c r="I248" s="12"/>
      <c r="J248" s="12"/>
      <c r="K248" s="2" t="n">
        <f aca="false">IF(ISNUMBER(I248),1,0)</f>
        <v>0</v>
      </c>
      <c r="L248" s="2"/>
      <c r="M248" s="2" t="str">
        <f aca="false">Calculations!I248</f>
        <v/>
      </c>
      <c r="N248" s="2" t="str">
        <f aca="false">IF(Calculations!A248,Settings!$B$5,"")</f>
        <v/>
      </c>
      <c r="O248" s="2" t="str">
        <f aca="false">Calculations!J248</f>
        <v/>
      </c>
      <c r="P248" s="2" t="str">
        <f aca="false">IF(Calculations!A248,Settings!$B$5,"")</f>
        <v/>
      </c>
      <c r="Q248" s="2" t="str">
        <f aca="false">Calculations!K248</f>
        <v/>
      </c>
      <c r="R248" s="2" t="str">
        <f aca="false">IF(Calculations!A248,Settings!$B$5,"")</f>
        <v/>
      </c>
      <c r="S248" s="2" t="str">
        <f aca="false">Calculations!L248</f>
        <v/>
      </c>
      <c r="T248" s="2" t="str">
        <f aca="false">IF(Calculations!A248,Settings!$B$5,"")</f>
        <v/>
      </c>
      <c r="U248" s="2" t="str">
        <f aca="false">Calculations!M248</f>
        <v/>
      </c>
      <c r="V248" s="2" t="str">
        <f aca="false">IF(Calculations!A248,Settings!$B$5,"")</f>
        <v/>
      </c>
      <c r="W248" s="2" t="str">
        <f aca="false">Calculations!N248</f>
        <v/>
      </c>
      <c r="X248" s="1" t="str">
        <f aca="false">Calculations!O248</f>
        <v/>
      </c>
      <c r="Y248" s="1" t="str">
        <f aca="false">IF(Calculations!P248="","",Calculations!P248)</f>
        <v/>
      </c>
    </row>
    <row r="249" customFormat="false" ht="13.8" hidden="false" customHeight="false" outlineLevel="0" collapsed="false">
      <c r="A249" s="23"/>
      <c r="B249" s="23"/>
      <c r="C249" s="2" t="str">
        <f aca="false">IF(Calculations!A249,Dates!D249,"")</f>
        <v/>
      </c>
      <c r="D249" s="2" t="str">
        <f aca="false">IF(Calculations!A249,1,"")</f>
        <v/>
      </c>
      <c r="E249" s="2" t="str">
        <f aca="false">IF(Calculations!A249,Dates!I249,"")</f>
        <v/>
      </c>
      <c r="F249" s="2" t="str">
        <f aca="false">IF(Calculations!A249,Dates!J249,"")</f>
        <v/>
      </c>
      <c r="G249" s="11" t="str">
        <f aca="false">IF(Calculations!A249,Dates!K249,"")</f>
        <v/>
      </c>
      <c r="H249" s="2" t="str">
        <f aca="false">IF(Calculations!A249,Dates!H249,"")</f>
        <v/>
      </c>
      <c r="I249" s="12"/>
      <c r="J249" s="12"/>
      <c r="K249" s="2" t="n">
        <f aca="false">IF(ISNUMBER(I249),1,0)</f>
        <v>0</v>
      </c>
      <c r="L249" s="2"/>
      <c r="M249" s="2" t="str">
        <f aca="false">Calculations!I249</f>
        <v/>
      </c>
      <c r="N249" s="2" t="str">
        <f aca="false">IF(Calculations!A249,Settings!$B$5,"")</f>
        <v/>
      </c>
      <c r="O249" s="2" t="str">
        <f aca="false">Calculations!J249</f>
        <v/>
      </c>
      <c r="P249" s="2" t="str">
        <f aca="false">IF(Calculations!A249,Settings!$B$5,"")</f>
        <v/>
      </c>
      <c r="Q249" s="2" t="str">
        <f aca="false">Calculations!K249</f>
        <v/>
      </c>
      <c r="R249" s="2" t="str">
        <f aca="false">IF(Calculations!A249,Settings!$B$5,"")</f>
        <v/>
      </c>
      <c r="S249" s="2" t="str">
        <f aca="false">Calculations!L249</f>
        <v/>
      </c>
      <c r="T249" s="2" t="str">
        <f aca="false">IF(Calculations!A249,Settings!$B$5,"")</f>
        <v/>
      </c>
      <c r="U249" s="2" t="str">
        <f aca="false">Calculations!M249</f>
        <v/>
      </c>
      <c r="V249" s="2" t="str">
        <f aca="false">IF(Calculations!A249,Settings!$B$5,"")</f>
        <v/>
      </c>
      <c r="W249" s="2" t="str">
        <f aca="false">Calculations!N249</f>
        <v/>
      </c>
      <c r="X249" s="1" t="str">
        <f aca="false">Calculations!O249</f>
        <v/>
      </c>
      <c r="Y249" s="1" t="str">
        <f aca="false">IF(Calculations!P249="","",Calculations!P249)</f>
        <v/>
      </c>
    </row>
    <row r="250" customFormat="false" ht="13.8" hidden="false" customHeight="false" outlineLevel="0" collapsed="false">
      <c r="A250" s="23"/>
      <c r="B250" s="23"/>
      <c r="C250" s="2" t="str">
        <f aca="false">IF(Calculations!A250,Dates!D250,"")</f>
        <v/>
      </c>
      <c r="D250" s="2" t="str">
        <f aca="false">IF(Calculations!A250,1,"")</f>
        <v/>
      </c>
      <c r="E250" s="2" t="str">
        <f aca="false">IF(Calculations!A250,Dates!I250,"")</f>
        <v/>
      </c>
      <c r="F250" s="2" t="str">
        <f aca="false">IF(Calculations!A250,Dates!J250,"")</f>
        <v/>
      </c>
      <c r="G250" s="11" t="str">
        <f aca="false">IF(Calculations!A250,Dates!K250,"")</f>
        <v/>
      </c>
      <c r="H250" s="2" t="str">
        <f aca="false">IF(Calculations!A250,Dates!H250,"")</f>
        <v/>
      </c>
      <c r="I250" s="12"/>
      <c r="J250" s="12"/>
      <c r="K250" s="2" t="n">
        <f aca="false">IF(ISNUMBER(I250),1,0)</f>
        <v>0</v>
      </c>
      <c r="L250" s="2"/>
      <c r="M250" s="2" t="str">
        <f aca="false">Calculations!I250</f>
        <v/>
      </c>
      <c r="N250" s="2" t="str">
        <f aca="false">IF(Calculations!A250,Settings!$B$5,"")</f>
        <v/>
      </c>
      <c r="O250" s="2" t="str">
        <f aca="false">Calculations!J250</f>
        <v/>
      </c>
      <c r="P250" s="2" t="str">
        <f aca="false">IF(Calculations!A250,Settings!$B$5,"")</f>
        <v/>
      </c>
      <c r="Q250" s="2" t="str">
        <f aca="false">Calculations!K250</f>
        <v/>
      </c>
      <c r="R250" s="2" t="str">
        <f aca="false">IF(Calculations!A250,Settings!$B$5,"")</f>
        <v/>
      </c>
      <c r="S250" s="2" t="str">
        <f aca="false">Calculations!L250</f>
        <v/>
      </c>
      <c r="T250" s="2" t="str">
        <f aca="false">IF(Calculations!A250,Settings!$B$5,"")</f>
        <v/>
      </c>
      <c r="U250" s="2" t="str">
        <f aca="false">Calculations!M250</f>
        <v/>
      </c>
      <c r="V250" s="2" t="str">
        <f aca="false">IF(Calculations!A250,Settings!$B$5,"")</f>
        <v/>
      </c>
      <c r="W250" s="2" t="str">
        <f aca="false">Calculations!N250</f>
        <v/>
      </c>
      <c r="X250" s="1" t="str">
        <f aca="false">Calculations!O250</f>
        <v/>
      </c>
      <c r="Y250" s="1" t="str">
        <f aca="false">IF(Calculations!P250="","",Calculations!P250)</f>
        <v/>
      </c>
    </row>
    <row r="251" customFormat="false" ht="13.8" hidden="false" customHeight="false" outlineLevel="0" collapsed="false">
      <c r="A251" s="23"/>
      <c r="B251" s="23"/>
      <c r="C251" s="2" t="str">
        <f aca="false">IF(Calculations!A251,Dates!D251,"")</f>
        <v/>
      </c>
      <c r="D251" s="2" t="str">
        <f aca="false">IF(Calculations!A251,1,"")</f>
        <v/>
      </c>
      <c r="E251" s="2" t="str">
        <f aca="false">IF(Calculations!A251,Dates!I251,"")</f>
        <v/>
      </c>
      <c r="F251" s="2" t="str">
        <f aca="false">IF(Calculations!A251,Dates!J251,"")</f>
        <v/>
      </c>
      <c r="G251" s="11" t="str">
        <f aca="false">IF(Calculations!A251,Dates!K251,"")</f>
        <v/>
      </c>
      <c r="H251" s="2" t="str">
        <f aca="false">IF(Calculations!A251,Dates!H251,"")</f>
        <v/>
      </c>
      <c r="I251" s="12"/>
      <c r="J251" s="12"/>
      <c r="K251" s="2" t="n">
        <f aca="false">IF(ISNUMBER(I251),1,0)</f>
        <v>0</v>
      </c>
      <c r="L251" s="2"/>
      <c r="M251" s="2" t="str">
        <f aca="false">Calculations!I251</f>
        <v/>
      </c>
      <c r="N251" s="2" t="str">
        <f aca="false">IF(Calculations!A251,Settings!$B$5,"")</f>
        <v/>
      </c>
      <c r="O251" s="2" t="str">
        <f aca="false">Calculations!J251</f>
        <v/>
      </c>
      <c r="P251" s="2" t="str">
        <f aca="false">IF(Calculations!A251,Settings!$B$5,"")</f>
        <v/>
      </c>
      <c r="Q251" s="2" t="str">
        <f aca="false">Calculations!K251</f>
        <v/>
      </c>
      <c r="R251" s="2" t="str">
        <f aca="false">IF(Calculations!A251,Settings!$B$5,"")</f>
        <v/>
      </c>
      <c r="S251" s="2" t="str">
        <f aca="false">Calculations!L251</f>
        <v/>
      </c>
      <c r="T251" s="2" t="str">
        <f aca="false">IF(Calculations!A251,Settings!$B$5,"")</f>
        <v/>
      </c>
      <c r="U251" s="2" t="str">
        <f aca="false">Calculations!M251</f>
        <v/>
      </c>
      <c r="V251" s="2" t="str">
        <f aca="false">IF(Calculations!A251,Settings!$B$5,"")</f>
        <v/>
      </c>
      <c r="W251" s="2" t="str">
        <f aca="false">Calculations!N251</f>
        <v/>
      </c>
      <c r="X251" s="1" t="str">
        <f aca="false">Calculations!O251</f>
        <v/>
      </c>
      <c r="Y251" s="1" t="str">
        <f aca="false">IF(Calculations!P251="","",Calculations!P251)</f>
        <v/>
      </c>
    </row>
    <row r="252" customFormat="false" ht="13.8" hidden="false" customHeight="false" outlineLevel="0" collapsed="false">
      <c r="A252" s="23"/>
      <c r="B252" s="23"/>
      <c r="C252" s="2" t="str">
        <f aca="false">IF(Calculations!A252,Dates!D252,"")</f>
        <v/>
      </c>
      <c r="D252" s="2" t="str">
        <f aca="false">IF(Calculations!A252,1,"")</f>
        <v/>
      </c>
      <c r="E252" s="2" t="str">
        <f aca="false">IF(Calculations!A252,Dates!I252,"")</f>
        <v/>
      </c>
      <c r="F252" s="2" t="str">
        <f aca="false">IF(Calculations!A252,Dates!J252,"")</f>
        <v/>
      </c>
      <c r="G252" s="11" t="str">
        <f aca="false">IF(Calculations!A252,Dates!K252,"")</f>
        <v/>
      </c>
      <c r="H252" s="2" t="str">
        <f aca="false">IF(Calculations!A252,Dates!H252,"")</f>
        <v/>
      </c>
      <c r="I252" s="12"/>
      <c r="J252" s="12"/>
      <c r="K252" s="2" t="n">
        <f aca="false">IF(ISNUMBER(I252),1,0)</f>
        <v>0</v>
      </c>
      <c r="L252" s="2"/>
      <c r="M252" s="2" t="str">
        <f aca="false">Calculations!I252</f>
        <v/>
      </c>
      <c r="N252" s="2" t="str">
        <f aca="false">IF(Calculations!A252,Settings!$B$5,"")</f>
        <v/>
      </c>
      <c r="O252" s="2" t="str">
        <f aca="false">Calculations!J252</f>
        <v/>
      </c>
      <c r="P252" s="2" t="str">
        <f aca="false">IF(Calculations!A252,Settings!$B$5,"")</f>
        <v/>
      </c>
      <c r="Q252" s="2" t="str">
        <f aca="false">Calculations!K252</f>
        <v/>
      </c>
      <c r="R252" s="2" t="str">
        <f aca="false">IF(Calculations!A252,Settings!$B$5,"")</f>
        <v/>
      </c>
      <c r="S252" s="2" t="str">
        <f aca="false">Calculations!L252</f>
        <v/>
      </c>
      <c r="T252" s="2" t="str">
        <f aca="false">IF(Calculations!A252,Settings!$B$5,"")</f>
        <v/>
      </c>
      <c r="U252" s="2" t="str">
        <f aca="false">Calculations!M252</f>
        <v/>
      </c>
      <c r="V252" s="2" t="str">
        <f aca="false">IF(Calculations!A252,Settings!$B$5,"")</f>
        <v/>
      </c>
      <c r="W252" s="2" t="str">
        <f aca="false">Calculations!N252</f>
        <v/>
      </c>
      <c r="X252" s="1" t="str">
        <f aca="false">Calculations!O252</f>
        <v/>
      </c>
      <c r="Y252" s="1" t="str">
        <f aca="false">IF(Calculations!P252="","",Calculations!P252)</f>
        <v/>
      </c>
    </row>
    <row r="253" customFormat="false" ht="13.8" hidden="false" customHeight="false" outlineLevel="0" collapsed="false">
      <c r="A253" s="23"/>
      <c r="B253" s="23"/>
      <c r="C253" s="2" t="str">
        <f aca="false">IF(Calculations!A253,Dates!D253,"")</f>
        <v/>
      </c>
      <c r="D253" s="2" t="str">
        <f aca="false">IF(Calculations!A253,1,"")</f>
        <v/>
      </c>
      <c r="E253" s="2" t="str">
        <f aca="false">IF(Calculations!A253,Dates!I253,"")</f>
        <v/>
      </c>
      <c r="F253" s="2" t="str">
        <f aca="false">IF(Calculations!A253,Dates!J253,"")</f>
        <v/>
      </c>
      <c r="G253" s="11" t="str">
        <f aca="false">IF(Calculations!A253,Dates!K253,"")</f>
        <v/>
      </c>
      <c r="H253" s="2" t="str">
        <f aca="false">IF(Calculations!A253,Dates!H253,"")</f>
        <v/>
      </c>
      <c r="I253" s="12"/>
      <c r="J253" s="12"/>
      <c r="K253" s="2" t="n">
        <f aca="false">IF(ISNUMBER(I253),1,0)</f>
        <v>0</v>
      </c>
      <c r="L253" s="2"/>
      <c r="M253" s="2" t="str">
        <f aca="false">Calculations!I253</f>
        <v/>
      </c>
      <c r="N253" s="2" t="str">
        <f aca="false">IF(Calculations!A253,Settings!$B$5,"")</f>
        <v/>
      </c>
      <c r="O253" s="2" t="str">
        <f aca="false">Calculations!J253</f>
        <v/>
      </c>
      <c r="P253" s="2" t="str">
        <f aca="false">IF(Calculations!A253,Settings!$B$5,"")</f>
        <v/>
      </c>
      <c r="Q253" s="2" t="str">
        <f aca="false">Calculations!K253</f>
        <v/>
      </c>
      <c r="R253" s="2" t="str">
        <f aca="false">IF(Calculations!A253,Settings!$B$5,"")</f>
        <v/>
      </c>
      <c r="S253" s="2" t="str">
        <f aca="false">Calculations!L253</f>
        <v/>
      </c>
      <c r="T253" s="2" t="str">
        <f aca="false">IF(Calculations!A253,Settings!$B$5,"")</f>
        <v/>
      </c>
      <c r="U253" s="2" t="str">
        <f aca="false">Calculations!M253</f>
        <v/>
      </c>
      <c r="V253" s="2" t="str">
        <f aca="false">IF(Calculations!A253,Settings!$B$5,"")</f>
        <v/>
      </c>
      <c r="W253" s="2" t="str">
        <f aca="false">Calculations!N253</f>
        <v/>
      </c>
      <c r="X253" s="1" t="str">
        <f aca="false">Calculations!O253</f>
        <v/>
      </c>
      <c r="Y253" s="1" t="str">
        <f aca="false">IF(Calculations!P253="","",Calculations!P253)</f>
        <v/>
      </c>
    </row>
    <row r="254" customFormat="false" ht="13.8" hidden="false" customHeight="false" outlineLevel="0" collapsed="false">
      <c r="A254" s="23"/>
      <c r="B254" s="23"/>
      <c r="C254" s="2" t="str">
        <f aca="false">IF(Calculations!A254,Dates!D254,"")</f>
        <v/>
      </c>
      <c r="D254" s="2" t="str">
        <f aca="false">IF(Calculations!A254,1,"")</f>
        <v/>
      </c>
      <c r="E254" s="2" t="str">
        <f aca="false">IF(Calculations!A254,Dates!I254,"")</f>
        <v/>
      </c>
      <c r="F254" s="2" t="str">
        <f aca="false">IF(Calculations!A254,Dates!J254,"")</f>
        <v/>
      </c>
      <c r="G254" s="11" t="str">
        <f aca="false">IF(Calculations!A254,Dates!K254,"")</f>
        <v/>
      </c>
      <c r="H254" s="2" t="str">
        <f aca="false">IF(Calculations!A254,Dates!H254,"")</f>
        <v/>
      </c>
      <c r="I254" s="12"/>
      <c r="J254" s="12"/>
      <c r="K254" s="2" t="n">
        <f aca="false">IF(ISNUMBER(I254),1,0)</f>
        <v>0</v>
      </c>
      <c r="L254" s="2"/>
      <c r="M254" s="2" t="str">
        <f aca="false">Calculations!I254</f>
        <v/>
      </c>
      <c r="N254" s="2" t="str">
        <f aca="false">IF(Calculations!A254,Settings!$B$5,"")</f>
        <v/>
      </c>
      <c r="O254" s="2" t="str">
        <f aca="false">Calculations!J254</f>
        <v/>
      </c>
      <c r="P254" s="2" t="str">
        <f aca="false">IF(Calculations!A254,Settings!$B$5,"")</f>
        <v/>
      </c>
      <c r="Q254" s="2" t="str">
        <f aca="false">Calculations!K254</f>
        <v/>
      </c>
      <c r="R254" s="2" t="str">
        <f aca="false">IF(Calculations!A254,Settings!$B$5,"")</f>
        <v/>
      </c>
      <c r="S254" s="2" t="str">
        <f aca="false">Calculations!L254</f>
        <v/>
      </c>
      <c r="T254" s="2" t="str">
        <f aca="false">IF(Calculations!A254,Settings!$B$5,"")</f>
        <v/>
      </c>
      <c r="U254" s="2" t="str">
        <f aca="false">Calculations!M254</f>
        <v/>
      </c>
      <c r="V254" s="2" t="str">
        <f aca="false">IF(Calculations!A254,Settings!$B$5,"")</f>
        <v/>
      </c>
      <c r="W254" s="2" t="str">
        <f aca="false">Calculations!N254</f>
        <v/>
      </c>
      <c r="X254" s="1" t="str">
        <f aca="false">Calculations!O254</f>
        <v/>
      </c>
      <c r="Y254" s="1" t="str">
        <f aca="false">IF(Calculations!P254="","",Calculations!P254)</f>
        <v/>
      </c>
    </row>
    <row r="255" customFormat="false" ht="13.8" hidden="false" customHeight="false" outlineLevel="0" collapsed="false">
      <c r="A255" s="23"/>
      <c r="B255" s="23"/>
      <c r="C255" s="2" t="str">
        <f aca="false">IF(Calculations!A255,Dates!D255,"")</f>
        <v/>
      </c>
      <c r="D255" s="2" t="str">
        <f aca="false">IF(Calculations!A255,1,"")</f>
        <v/>
      </c>
      <c r="E255" s="2" t="str">
        <f aca="false">IF(Calculations!A255,Dates!I255,"")</f>
        <v/>
      </c>
      <c r="F255" s="2" t="str">
        <f aca="false">IF(Calculations!A255,Dates!J255,"")</f>
        <v/>
      </c>
      <c r="G255" s="11" t="str">
        <f aca="false">IF(Calculations!A255,Dates!K255,"")</f>
        <v/>
      </c>
      <c r="H255" s="2" t="str">
        <f aca="false">IF(Calculations!A255,Dates!H255,"")</f>
        <v/>
      </c>
      <c r="I255" s="12"/>
      <c r="J255" s="12"/>
      <c r="K255" s="2" t="n">
        <f aca="false">IF(ISNUMBER(I255),1,0)</f>
        <v>0</v>
      </c>
      <c r="L255" s="2"/>
      <c r="M255" s="2" t="str">
        <f aca="false">Calculations!I255</f>
        <v/>
      </c>
      <c r="N255" s="2" t="str">
        <f aca="false">IF(Calculations!A255,Settings!$B$5,"")</f>
        <v/>
      </c>
      <c r="O255" s="2" t="str">
        <f aca="false">Calculations!J255</f>
        <v/>
      </c>
      <c r="P255" s="2" t="str">
        <f aca="false">IF(Calculations!A255,Settings!$B$5,"")</f>
        <v/>
      </c>
      <c r="Q255" s="2" t="str">
        <f aca="false">Calculations!K255</f>
        <v/>
      </c>
      <c r="R255" s="2" t="str">
        <f aca="false">IF(Calculations!A255,Settings!$B$5,"")</f>
        <v/>
      </c>
      <c r="S255" s="2" t="str">
        <f aca="false">Calculations!L255</f>
        <v/>
      </c>
      <c r="T255" s="2" t="str">
        <f aca="false">IF(Calculations!A255,Settings!$B$5,"")</f>
        <v/>
      </c>
      <c r="U255" s="2" t="str">
        <f aca="false">Calculations!M255</f>
        <v/>
      </c>
      <c r="V255" s="2" t="str">
        <f aca="false">IF(Calculations!A255,Settings!$B$5,"")</f>
        <v/>
      </c>
      <c r="W255" s="2" t="str">
        <f aca="false">Calculations!N255</f>
        <v/>
      </c>
      <c r="X255" s="1" t="str">
        <f aca="false">Calculations!O255</f>
        <v/>
      </c>
      <c r="Y255" s="1" t="str">
        <f aca="false">IF(Calculations!P255="","",Calculations!P255)</f>
        <v/>
      </c>
    </row>
    <row r="256" customFormat="false" ht="13.8" hidden="false" customHeight="false" outlineLevel="0" collapsed="false">
      <c r="A256" s="23"/>
      <c r="B256" s="23"/>
      <c r="C256" s="2" t="str">
        <f aca="false">IF(Calculations!A256,Dates!D256,"")</f>
        <v/>
      </c>
      <c r="D256" s="2" t="str">
        <f aca="false">IF(Calculations!A256,1,"")</f>
        <v/>
      </c>
      <c r="E256" s="2" t="str">
        <f aca="false">IF(Calculations!A256,Dates!I256,"")</f>
        <v/>
      </c>
      <c r="F256" s="2" t="str">
        <f aca="false">IF(Calculations!A256,Dates!J256,"")</f>
        <v/>
      </c>
      <c r="G256" s="11" t="str">
        <f aca="false">IF(Calculations!A256,Dates!K256,"")</f>
        <v/>
      </c>
      <c r="H256" s="2" t="str">
        <f aca="false">IF(Calculations!A256,Dates!H256,"")</f>
        <v/>
      </c>
      <c r="I256" s="12"/>
      <c r="J256" s="12"/>
      <c r="K256" s="2" t="n">
        <f aca="false">IF(ISNUMBER(I256),1,0)</f>
        <v>0</v>
      </c>
      <c r="L256" s="2"/>
      <c r="M256" s="2" t="str">
        <f aca="false">Calculations!I256</f>
        <v/>
      </c>
      <c r="N256" s="2" t="str">
        <f aca="false">IF(Calculations!A256,Settings!$B$5,"")</f>
        <v/>
      </c>
      <c r="O256" s="2" t="str">
        <f aca="false">Calculations!J256</f>
        <v/>
      </c>
      <c r="P256" s="2" t="str">
        <f aca="false">IF(Calculations!A256,Settings!$B$5,"")</f>
        <v/>
      </c>
      <c r="Q256" s="2" t="str">
        <f aca="false">Calculations!K256</f>
        <v/>
      </c>
      <c r="R256" s="2" t="str">
        <f aca="false">IF(Calculations!A256,Settings!$B$5,"")</f>
        <v/>
      </c>
      <c r="S256" s="2" t="str">
        <f aca="false">Calculations!L256</f>
        <v/>
      </c>
      <c r="T256" s="2" t="str">
        <f aca="false">IF(Calculations!A256,Settings!$B$5,"")</f>
        <v/>
      </c>
      <c r="U256" s="2" t="str">
        <f aca="false">Calculations!M256</f>
        <v/>
      </c>
      <c r="V256" s="2" t="str">
        <f aca="false">IF(Calculations!A256,Settings!$B$5,"")</f>
        <v/>
      </c>
      <c r="W256" s="2" t="str">
        <f aca="false">Calculations!N256</f>
        <v/>
      </c>
      <c r="X256" s="1" t="str">
        <f aca="false">Calculations!O256</f>
        <v/>
      </c>
      <c r="Y256" s="1" t="str">
        <f aca="false">IF(Calculations!P256="","",Calculations!P256)</f>
        <v/>
      </c>
    </row>
    <row r="257" customFormat="false" ht="13.8" hidden="false" customHeight="false" outlineLevel="0" collapsed="false">
      <c r="A257" s="23"/>
      <c r="B257" s="23"/>
      <c r="C257" s="2" t="str">
        <f aca="false">IF(Calculations!A257,Dates!D257,"")</f>
        <v/>
      </c>
      <c r="D257" s="2" t="str">
        <f aca="false">IF(Calculations!A257,1,"")</f>
        <v/>
      </c>
      <c r="E257" s="2" t="str">
        <f aca="false">IF(Calculations!A257,Dates!I257,"")</f>
        <v/>
      </c>
      <c r="F257" s="2" t="str">
        <f aca="false">IF(Calculations!A257,Dates!J257,"")</f>
        <v/>
      </c>
      <c r="G257" s="11" t="str">
        <f aca="false">IF(Calculations!A257,Dates!K257,"")</f>
        <v/>
      </c>
      <c r="H257" s="2" t="str">
        <f aca="false">IF(Calculations!A257,Dates!H257,"")</f>
        <v/>
      </c>
      <c r="I257" s="12"/>
      <c r="J257" s="12"/>
      <c r="K257" s="2" t="n">
        <f aca="false">IF(ISNUMBER(I257),1,0)</f>
        <v>0</v>
      </c>
      <c r="L257" s="2"/>
      <c r="M257" s="2" t="str">
        <f aca="false">Calculations!I257</f>
        <v/>
      </c>
      <c r="N257" s="2" t="str">
        <f aca="false">IF(Calculations!A257,Settings!$B$5,"")</f>
        <v/>
      </c>
      <c r="O257" s="2" t="str">
        <f aca="false">Calculations!J257</f>
        <v/>
      </c>
      <c r="P257" s="2" t="str">
        <f aca="false">IF(Calculations!A257,Settings!$B$5,"")</f>
        <v/>
      </c>
      <c r="Q257" s="2" t="str">
        <f aca="false">Calculations!K257</f>
        <v/>
      </c>
      <c r="R257" s="2" t="str">
        <f aca="false">IF(Calculations!A257,Settings!$B$5,"")</f>
        <v/>
      </c>
      <c r="S257" s="2" t="str">
        <f aca="false">Calculations!L257</f>
        <v/>
      </c>
      <c r="T257" s="2" t="str">
        <f aca="false">IF(Calculations!A257,Settings!$B$5,"")</f>
        <v/>
      </c>
      <c r="U257" s="2" t="str">
        <f aca="false">Calculations!M257</f>
        <v/>
      </c>
      <c r="V257" s="2" t="str">
        <f aca="false">IF(Calculations!A257,Settings!$B$5,"")</f>
        <v/>
      </c>
      <c r="W257" s="2" t="str">
        <f aca="false">Calculations!N257</f>
        <v/>
      </c>
      <c r="X257" s="1" t="str">
        <f aca="false">Calculations!O257</f>
        <v/>
      </c>
      <c r="Y257" s="1" t="str">
        <f aca="false">IF(Calculations!P257="","",Calculations!P257)</f>
        <v/>
      </c>
    </row>
    <row r="258" customFormat="false" ht="13.8" hidden="false" customHeight="false" outlineLevel="0" collapsed="false">
      <c r="A258" s="23"/>
      <c r="B258" s="23"/>
      <c r="C258" s="2" t="str">
        <f aca="false">IF(Calculations!A258,Dates!D258,"")</f>
        <v/>
      </c>
      <c r="D258" s="2" t="str">
        <f aca="false">IF(Calculations!A258,1,"")</f>
        <v/>
      </c>
      <c r="E258" s="2" t="str">
        <f aca="false">IF(Calculations!A258,Dates!I258,"")</f>
        <v/>
      </c>
      <c r="F258" s="2" t="str">
        <f aca="false">IF(Calculations!A258,Dates!J258,"")</f>
        <v/>
      </c>
      <c r="G258" s="11" t="str">
        <f aca="false">IF(Calculations!A258,Dates!K258,"")</f>
        <v/>
      </c>
      <c r="H258" s="2" t="str">
        <f aca="false">IF(Calculations!A258,Dates!H258,"")</f>
        <v/>
      </c>
      <c r="I258" s="12"/>
      <c r="J258" s="12"/>
      <c r="K258" s="2" t="n">
        <f aca="false">IF(ISNUMBER(I258),1,0)</f>
        <v>0</v>
      </c>
      <c r="L258" s="2"/>
      <c r="M258" s="2" t="str">
        <f aca="false">Calculations!I258</f>
        <v/>
      </c>
      <c r="N258" s="2" t="str">
        <f aca="false">IF(Calculations!A258,Settings!$B$5,"")</f>
        <v/>
      </c>
      <c r="O258" s="2" t="str">
        <f aca="false">Calculations!J258</f>
        <v/>
      </c>
      <c r="P258" s="2" t="str">
        <f aca="false">IF(Calculations!A258,Settings!$B$5,"")</f>
        <v/>
      </c>
      <c r="Q258" s="2" t="str">
        <f aca="false">Calculations!K258</f>
        <v/>
      </c>
      <c r="R258" s="2" t="str">
        <f aca="false">IF(Calculations!A258,Settings!$B$5,"")</f>
        <v/>
      </c>
      <c r="S258" s="2" t="str">
        <f aca="false">Calculations!L258</f>
        <v/>
      </c>
      <c r="T258" s="2" t="str">
        <f aca="false">IF(Calculations!A258,Settings!$B$5,"")</f>
        <v/>
      </c>
      <c r="U258" s="2" t="str">
        <f aca="false">Calculations!M258</f>
        <v/>
      </c>
      <c r="V258" s="2" t="str">
        <f aca="false">IF(Calculations!A258,Settings!$B$5,"")</f>
        <v/>
      </c>
      <c r="W258" s="2" t="str">
        <f aca="false">Calculations!N258</f>
        <v/>
      </c>
      <c r="X258" s="1" t="str">
        <f aca="false">Calculations!O258</f>
        <v/>
      </c>
      <c r="Y258" s="1" t="str">
        <f aca="false">IF(Calculations!P258="","",Calculations!P258)</f>
        <v/>
      </c>
    </row>
    <row r="259" customFormat="false" ht="13.8" hidden="false" customHeight="false" outlineLevel="0" collapsed="false">
      <c r="A259" s="23"/>
      <c r="B259" s="23"/>
      <c r="C259" s="2" t="str">
        <f aca="false">IF(Calculations!A259,Dates!D259,"")</f>
        <v/>
      </c>
      <c r="D259" s="2" t="str">
        <f aca="false">IF(Calculations!A259,1,"")</f>
        <v/>
      </c>
      <c r="E259" s="2" t="str">
        <f aca="false">IF(Calculations!A259,Dates!I259,"")</f>
        <v/>
      </c>
      <c r="F259" s="2" t="str">
        <f aca="false">IF(Calculations!A259,Dates!J259,"")</f>
        <v/>
      </c>
      <c r="G259" s="11" t="str">
        <f aca="false">IF(Calculations!A259,Dates!K259,"")</f>
        <v/>
      </c>
      <c r="H259" s="2" t="str">
        <f aca="false">IF(Calculations!A259,Dates!H259,"")</f>
        <v/>
      </c>
      <c r="I259" s="12"/>
      <c r="J259" s="12"/>
      <c r="K259" s="2" t="n">
        <f aca="false">IF(ISNUMBER(I259),1,0)</f>
        <v>0</v>
      </c>
      <c r="L259" s="2"/>
      <c r="M259" s="2" t="str">
        <f aca="false">Calculations!I259</f>
        <v/>
      </c>
      <c r="N259" s="2" t="str">
        <f aca="false">IF(Calculations!A259,Settings!$B$5,"")</f>
        <v/>
      </c>
      <c r="O259" s="2" t="str">
        <f aca="false">Calculations!J259</f>
        <v/>
      </c>
      <c r="P259" s="2" t="str">
        <f aca="false">IF(Calculations!A259,Settings!$B$5,"")</f>
        <v/>
      </c>
      <c r="Q259" s="2" t="str">
        <f aca="false">Calculations!K259</f>
        <v/>
      </c>
      <c r="R259" s="2" t="str">
        <f aca="false">IF(Calculations!A259,Settings!$B$5,"")</f>
        <v/>
      </c>
      <c r="S259" s="2" t="str">
        <f aca="false">Calculations!L259</f>
        <v/>
      </c>
      <c r="T259" s="2" t="str">
        <f aca="false">IF(Calculations!A259,Settings!$B$5,"")</f>
        <v/>
      </c>
      <c r="U259" s="2" t="str">
        <f aca="false">Calculations!M259</f>
        <v/>
      </c>
      <c r="V259" s="2" t="str">
        <f aca="false">IF(Calculations!A259,Settings!$B$5,"")</f>
        <v/>
      </c>
      <c r="W259" s="2" t="str">
        <f aca="false">Calculations!N259</f>
        <v/>
      </c>
      <c r="X259" s="1" t="str">
        <f aca="false">Calculations!O259</f>
        <v/>
      </c>
      <c r="Y259" s="1" t="str">
        <f aca="false">IF(Calculations!P259="","",Calculations!P259)</f>
        <v/>
      </c>
    </row>
    <row r="260" customFormat="false" ht="13.8" hidden="false" customHeight="false" outlineLevel="0" collapsed="false">
      <c r="A260" s="23"/>
      <c r="B260" s="23"/>
      <c r="C260" s="2" t="str">
        <f aca="false">IF(Calculations!A260,Dates!D260,"")</f>
        <v/>
      </c>
      <c r="D260" s="2" t="str">
        <f aca="false">IF(Calculations!A260,1,"")</f>
        <v/>
      </c>
      <c r="E260" s="2" t="str">
        <f aca="false">IF(Calculations!A260,Dates!I260,"")</f>
        <v/>
      </c>
      <c r="F260" s="2" t="str">
        <f aca="false">IF(Calculations!A260,Dates!J260,"")</f>
        <v/>
      </c>
      <c r="G260" s="11" t="str">
        <f aca="false">IF(Calculations!A260,Dates!K260,"")</f>
        <v/>
      </c>
      <c r="H260" s="2" t="str">
        <f aca="false">IF(Calculations!A260,Dates!H260,"")</f>
        <v/>
      </c>
      <c r="I260" s="12"/>
      <c r="J260" s="12"/>
      <c r="K260" s="2" t="n">
        <f aca="false">IF(ISNUMBER(I260),1,0)</f>
        <v>0</v>
      </c>
      <c r="L260" s="2"/>
      <c r="M260" s="2" t="str">
        <f aca="false">Calculations!I260</f>
        <v/>
      </c>
      <c r="N260" s="2" t="str">
        <f aca="false">IF(Calculations!A260,Settings!$B$5,"")</f>
        <v/>
      </c>
      <c r="O260" s="2" t="str">
        <f aca="false">Calculations!J260</f>
        <v/>
      </c>
      <c r="P260" s="2" t="str">
        <f aca="false">IF(Calculations!A260,Settings!$B$5,"")</f>
        <v/>
      </c>
      <c r="Q260" s="2" t="str">
        <f aca="false">Calculations!K260</f>
        <v/>
      </c>
      <c r="R260" s="2" t="str">
        <f aca="false">IF(Calculations!A260,Settings!$B$5,"")</f>
        <v/>
      </c>
      <c r="S260" s="2" t="str">
        <f aca="false">Calculations!L260</f>
        <v/>
      </c>
      <c r="T260" s="2" t="str">
        <f aca="false">IF(Calculations!A260,Settings!$B$5,"")</f>
        <v/>
      </c>
      <c r="U260" s="2" t="str">
        <f aca="false">Calculations!M260</f>
        <v/>
      </c>
      <c r="V260" s="2" t="str">
        <f aca="false">IF(Calculations!A260,Settings!$B$5,"")</f>
        <v/>
      </c>
      <c r="W260" s="2" t="str">
        <f aca="false">Calculations!N260</f>
        <v/>
      </c>
      <c r="X260" s="1" t="str">
        <f aca="false">Calculations!O260</f>
        <v/>
      </c>
      <c r="Y260" s="1" t="str">
        <f aca="false">IF(Calculations!P260="","",Calculations!P260)</f>
        <v/>
      </c>
    </row>
    <row r="261" customFormat="false" ht="13.8" hidden="false" customHeight="false" outlineLevel="0" collapsed="false">
      <c r="A261" s="23"/>
      <c r="B261" s="23"/>
      <c r="C261" s="2" t="str">
        <f aca="false">IF(Calculations!A261,Dates!D261,"")</f>
        <v/>
      </c>
      <c r="D261" s="2" t="str">
        <f aca="false">IF(Calculations!A261,1,"")</f>
        <v/>
      </c>
      <c r="E261" s="2" t="str">
        <f aca="false">IF(Calculations!A261,Dates!I261,"")</f>
        <v/>
      </c>
      <c r="F261" s="2" t="str">
        <f aca="false">IF(Calculations!A261,Dates!J261,"")</f>
        <v/>
      </c>
      <c r="G261" s="11" t="str">
        <f aca="false">IF(Calculations!A261,Dates!K261,"")</f>
        <v/>
      </c>
      <c r="H261" s="2" t="str">
        <f aca="false">IF(Calculations!A261,Dates!H261,"")</f>
        <v/>
      </c>
      <c r="I261" s="12"/>
      <c r="J261" s="12"/>
      <c r="K261" s="2" t="n">
        <f aca="false">IF(ISNUMBER(I261),1,0)</f>
        <v>0</v>
      </c>
      <c r="L261" s="2"/>
      <c r="M261" s="2" t="str">
        <f aca="false">Calculations!I261</f>
        <v/>
      </c>
      <c r="N261" s="2" t="str">
        <f aca="false">IF(Calculations!A261,Settings!$B$5,"")</f>
        <v/>
      </c>
      <c r="O261" s="2" t="str">
        <f aca="false">Calculations!J261</f>
        <v/>
      </c>
      <c r="P261" s="2" t="str">
        <f aca="false">IF(Calculations!A261,Settings!$B$5,"")</f>
        <v/>
      </c>
      <c r="Q261" s="2" t="str">
        <f aca="false">Calculations!K261</f>
        <v/>
      </c>
      <c r="R261" s="2" t="str">
        <f aca="false">IF(Calculations!A261,Settings!$B$5,"")</f>
        <v/>
      </c>
      <c r="S261" s="2" t="str">
        <f aca="false">Calculations!L261</f>
        <v/>
      </c>
      <c r="T261" s="2" t="str">
        <f aca="false">IF(Calculations!A261,Settings!$B$5,"")</f>
        <v/>
      </c>
      <c r="U261" s="2" t="str">
        <f aca="false">Calculations!M261</f>
        <v/>
      </c>
      <c r="V261" s="2" t="str">
        <f aca="false">IF(Calculations!A261,Settings!$B$5,"")</f>
        <v/>
      </c>
      <c r="W261" s="2" t="str">
        <f aca="false">Calculations!N261</f>
        <v/>
      </c>
      <c r="X261" s="1" t="str">
        <f aca="false">Calculations!O261</f>
        <v/>
      </c>
      <c r="Y261" s="1" t="str">
        <f aca="false">IF(Calculations!P261="","",Calculations!P261)</f>
        <v/>
      </c>
    </row>
    <row r="262" customFormat="false" ht="13.8" hidden="false" customHeight="false" outlineLevel="0" collapsed="false">
      <c r="F262" s="2"/>
      <c r="G262" s="28"/>
      <c r="H262" s="2"/>
      <c r="I262" s="4"/>
      <c r="K262" s="28"/>
      <c r="L262" s="2"/>
    </row>
    <row r="263" customFormat="false" ht="13.8" hidden="false" customHeight="false" outlineLevel="0" collapsed="false">
      <c r="F263" s="2"/>
      <c r="G263" s="28"/>
      <c r="H263" s="2"/>
      <c r="I263" s="4"/>
      <c r="K263" s="28"/>
      <c r="L263" s="2"/>
      <c r="X263" s="28"/>
    </row>
    <row r="264" customFormat="false" ht="13.8" hidden="false" customHeight="false" outlineLevel="0" collapsed="false">
      <c r="F264" s="2"/>
      <c r="G264" s="28"/>
      <c r="H264" s="2"/>
      <c r="I264" s="4"/>
      <c r="K264" s="28"/>
      <c r="L264" s="2"/>
      <c r="W264" s="30"/>
      <c r="X264" s="28"/>
    </row>
    <row r="265" customFormat="false" ht="13.8" hidden="false" customHeight="false" outlineLevel="0" collapsed="false">
      <c r="F265" s="2"/>
      <c r="G265" s="28"/>
      <c r="H265" s="2"/>
      <c r="I265" s="4"/>
      <c r="K265" s="28"/>
      <c r="L265" s="2"/>
      <c r="W265" s="30"/>
      <c r="X265" s="28"/>
    </row>
    <row r="266" customFormat="false" ht="13.8" hidden="false" customHeight="false" outlineLevel="0" collapsed="false">
      <c r="F266" s="2"/>
      <c r="G266" s="28"/>
      <c r="H266" s="2"/>
      <c r="I266" s="4"/>
      <c r="K266" s="28"/>
      <c r="L266" s="2"/>
      <c r="W266" s="30"/>
      <c r="X266" s="28"/>
    </row>
    <row r="267" customFormat="false" ht="13.8" hidden="false" customHeight="false" outlineLevel="0" collapsed="false">
      <c r="F267" s="2"/>
      <c r="G267" s="28"/>
      <c r="H267" s="2"/>
      <c r="I267" s="4"/>
      <c r="K267" s="28"/>
      <c r="L267" s="2"/>
      <c r="W267" s="30"/>
      <c r="X267" s="28"/>
    </row>
    <row r="268" customFormat="false" ht="13.8" hidden="false" customHeight="false" outlineLevel="0" collapsed="false">
      <c r="F268" s="2"/>
      <c r="G268" s="28"/>
      <c r="H268" s="2"/>
      <c r="I268" s="4"/>
      <c r="K268" s="28"/>
      <c r="L268" s="2"/>
      <c r="W268" s="30"/>
      <c r="X268" s="28"/>
    </row>
    <row r="269" customFormat="false" ht="13.8" hidden="false" customHeight="false" outlineLevel="0" collapsed="false">
      <c r="F269" s="2"/>
      <c r="G269" s="28"/>
      <c r="H269" s="2"/>
      <c r="I269" s="4"/>
      <c r="K269" s="28"/>
      <c r="L269" s="2"/>
      <c r="W269" s="30"/>
      <c r="X269" s="28"/>
    </row>
    <row r="270" customFormat="false" ht="13.8" hidden="false" customHeight="false" outlineLevel="0" collapsed="false">
      <c r="F270" s="2"/>
      <c r="G270" s="28"/>
      <c r="H270" s="2"/>
      <c r="I270" s="4"/>
      <c r="K270" s="28"/>
      <c r="L270" s="2"/>
      <c r="W270" s="30"/>
      <c r="X270" s="28"/>
    </row>
    <row r="271" customFormat="false" ht="13.8" hidden="false" customHeight="false" outlineLevel="0" collapsed="false">
      <c r="F271" s="2"/>
      <c r="G271" s="28"/>
      <c r="H271" s="2"/>
      <c r="I271" s="4"/>
      <c r="K271" s="28"/>
      <c r="L271" s="2"/>
      <c r="W271" s="30"/>
      <c r="X271" s="28"/>
    </row>
    <row r="272" customFormat="false" ht="13.8" hidden="false" customHeight="false" outlineLevel="0" collapsed="false">
      <c r="F272" s="2"/>
      <c r="G272" s="28"/>
      <c r="H272" s="2"/>
      <c r="I272" s="4"/>
      <c r="K272" s="28"/>
      <c r="L272" s="2"/>
      <c r="W272" s="30"/>
      <c r="X272" s="28"/>
    </row>
    <row r="273" customFormat="false" ht="13.8" hidden="false" customHeight="false" outlineLevel="0" collapsed="false">
      <c r="F273" s="2"/>
      <c r="G273" s="28"/>
      <c r="H273" s="2"/>
      <c r="I273" s="4"/>
      <c r="K273" s="28"/>
      <c r="L273" s="2"/>
      <c r="W273" s="30"/>
      <c r="X273" s="28"/>
    </row>
    <row r="274" customFormat="false" ht="13.8" hidden="false" customHeight="false" outlineLevel="0" collapsed="false">
      <c r="F274" s="2"/>
      <c r="G274" s="28"/>
      <c r="H274" s="2"/>
      <c r="I274" s="4"/>
      <c r="K274" s="28"/>
      <c r="L274" s="2"/>
      <c r="W274" s="30"/>
      <c r="X274" s="28"/>
    </row>
    <row r="275" customFormat="false" ht="13.8" hidden="false" customHeight="false" outlineLevel="0" collapsed="false">
      <c r="F275" s="2"/>
      <c r="G275" s="28"/>
      <c r="H275" s="2"/>
      <c r="I275" s="4"/>
      <c r="K275" s="28"/>
      <c r="L275" s="2"/>
      <c r="W275" s="30"/>
      <c r="X275" s="28"/>
    </row>
    <row r="276" customFormat="false" ht="13.8" hidden="false" customHeight="false" outlineLevel="0" collapsed="false">
      <c r="F276" s="2"/>
      <c r="G276" s="28"/>
      <c r="H276" s="2"/>
      <c r="I276" s="4"/>
      <c r="K276" s="28"/>
      <c r="L276" s="2"/>
      <c r="W276" s="30"/>
      <c r="X276" s="28"/>
    </row>
    <row r="277" customFormat="false" ht="13.8" hidden="false" customHeight="false" outlineLevel="0" collapsed="false">
      <c r="F277" s="2"/>
      <c r="G277" s="28"/>
      <c r="H277" s="2"/>
      <c r="I277" s="4"/>
      <c r="K277" s="28"/>
      <c r="L277" s="2"/>
      <c r="W277" s="30"/>
      <c r="X277" s="28"/>
    </row>
    <row r="278" customFormat="false" ht="13.8" hidden="false" customHeight="false" outlineLevel="0" collapsed="false">
      <c r="F278" s="2"/>
      <c r="G278" s="28"/>
      <c r="H278" s="2"/>
      <c r="I278" s="4"/>
      <c r="K278" s="28"/>
      <c r="L278" s="2"/>
      <c r="W278" s="30"/>
      <c r="X278" s="28"/>
    </row>
    <row r="279" customFormat="false" ht="13.8" hidden="false" customHeight="false" outlineLevel="0" collapsed="false">
      <c r="F279" s="2"/>
      <c r="G279" s="28"/>
      <c r="H279" s="2"/>
      <c r="I279" s="4"/>
      <c r="K279" s="28"/>
      <c r="L279" s="2"/>
      <c r="W279" s="30"/>
      <c r="X279" s="28"/>
    </row>
    <row r="280" customFormat="false" ht="13.8" hidden="false" customHeight="false" outlineLevel="0" collapsed="false">
      <c r="F280" s="2"/>
      <c r="G280" s="28"/>
      <c r="H280" s="2"/>
      <c r="I280" s="4"/>
      <c r="K280" s="28"/>
      <c r="L280" s="2"/>
      <c r="W280" s="30"/>
      <c r="X280" s="28"/>
    </row>
    <row r="281" customFormat="false" ht="13.8" hidden="false" customHeight="false" outlineLevel="0" collapsed="false">
      <c r="F281" s="2"/>
      <c r="G281" s="28"/>
      <c r="H281" s="2"/>
      <c r="I281" s="4"/>
      <c r="K281" s="28"/>
      <c r="L281" s="2"/>
      <c r="W281" s="30"/>
      <c r="X281" s="28"/>
    </row>
    <row r="282" customFormat="false" ht="13.8" hidden="false" customHeight="false" outlineLevel="0" collapsed="false">
      <c r="F282" s="2"/>
      <c r="G282" s="28"/>
      <c r="H282" s="2"/>
      <c r="I282" s="4"/>
      <c r="K282" s="28"/>
      <c r="L282" s="2"/>
      <c r="W282" s="30"/>
      <c r="X282" s="28"/>
    </row>
    <row r="283" customFormat="false" ht="13.8" hidden="false" customHeight="false" outlineLevel="0" collapsed="false">
      <c r="F283" s="2"/>
      <c r="G283" s="28"/>
      <c r="H283" s="2"/>
      <c r="I283" s="4"/>
      <c r="K283" s="28"/>
      <c r="L283" s="2"/>
      <c r="W283" s="30"/>
      <c r="X283" s="28"/>
    </row>
    <row r="284" customFormat="false" ht="13.8" hidden="false" customHeight="false" outlineLevel="0" collapsed="false">
      <c r="F284" s="2"/>
      <c r="G284" s="28"/>
      <c r="H284" s="2"/>
      <c r="I284" s="4"/>
      <c r="K284" s="28"/>
      <c r="L284" s="2"/>
      <c r="W284" s="30"/>
      <c r="X284" s="28"/>
    </row>
    <row r="285" customFormat="false" ht="13.8" hidden="false" customHeight="false" outlineLevel="0" collapsed="false">
      <c r="F285" s="2"/>
      <c r="G285" s="28"/>
      <c r="H285" s="2"/>
      <c r="I285" s="4"/>
      <c r="K285" s="28"/>
      <c r="L285" s="2"/>
      <c r="W285" s="30"/>
      <c r="X285" s="28"/>
    </row>
    <row r="286" customFormat="false" ht="13.8" hidden="false" customHeight="false" outlineLevel="0" collapsed="false">
      <c r="F286" s="2"/>
      <c r="G286" s="28"/>
      <c r="H286" s="2"/>
      <c r="I286" s="4"/>
      <c r="K286" s="28"/>
      <c r="L286" s="2"/>
      <c r="W286" s="30"/>
      <c r="X286" s="28"/>
    </row>
    <row r="287" customFormat="false" ht="13.8" hidden="false" customHeight="false" outlineLevel="0" collapsed="false">
      <c r="F287" s="2"/>
      <c r="G287" s="28"/>
      <c r="H287" s="2"/>
      <c r="I287" s="4"/>
      <c r="K287" s="28"/>
      <c r="L287" s="2"/>
      <c r="W287" s="30"/>
      <c r="X287" s="28"/>
    </row>
    <row r="288" customFormat="false" ht="13.8" hidden="false" customHeight="false" outlineLevel="0" collapsed="false">
      <c r="F288" s="2"/>
      <c r="G288" s="28"/>
      <c r="H288" s="2"/>
      <c r="I288" s="4"/>
      <c r="K288" s="28"/>
      <c r="L288" s="2"/>
      <c r="M288" s="28"/>
      <c r="O288" s="28"/>
      <c r="W288" s="30"/>
      <c r="X288" s="28"/>
    </row>
    <row r="289" customFormat="false" ht="13.8" hidden="false" customHeight="false" outlineLevel="0" collapsed="false">
      <c r="F289" s="2"/>
      <c r="G289" s="28"/>
      <c r="H289" s="2"/>
      <c r="I289" s="4"/>
      <c r="K289" s="28"/>
      <c r="L289" s="2"/>
      <c r="M289" s="28"/>
      <c r="O289" s="28"/>
      <c r="W289" s="30"/>
      <c r="X289" s="28"/>
    </row>
    <row r="290" customFormat="false" ht="13.8" hidden="false" customHeight="false" outlineLevel="0" collapsed="false">
      <c r="F290" s="2"/>
      <c r="G290" s="28"/>
      <c r="H290" s="2"/>
      <c r="I290" s="4"/>
      <c r="K290" s="28"/>
      <c r="L290" s="2"/>
      <c r="M290" s="28"/>
      <c r="O290" s="28"/>
      <c r="W290" s="30"/>
      <c r="X290" s="28"/>
    </row>
    <row r="291" customFormat="false" ht="13.8" hidden="false" customHeight="false" outlineLevel="0" collapsed="false">
      <c r="F291" s="2"/>
      <c r="G291" s="28"/>
      <c r="H291" s="2"/>
      <c r="I291" s="4"/>
      <c r="K291" s="28"/>
      <c r="L291" s="2"/>
      <c r="M291" s="28"/>
      <c r="O291" s="28"/>
      <c r="W291" s="30"/>
      <c r="X291" s="28"/>
    </row>
    <row r="292" customFormat="false" ht="13.8" hidden="false" customHeight="false" outlineLevel="0" collapsed="false">
      <c r="F292" s="2"/>
      <c r="G292" s="28"/>
      <c r="H292" s="2"/>
      <c r="I292" s="4"/>
      <c r="K292" s="28"/>
      <c r="L292" s="2"/>
      <c r="M292" s="28"/>
      <c r="O292" s="28"/>
      <c r="W292" s="30"/>
      <c r="X292" s="28"/>
    </row>
    <row r="293" customFormat="false" ht="13.8" hidden="false" customHeight="false" outlineLevel="0" collapsed="false">
      <c r="F293" s="2"/>
      <c r="G293" s="28"/>
      <c r="H293" s="2"/>
      <c r="I293" s="4"/>
      <c r="K293" s="28"/>
      <c r="L293" s="2"/>
      <c r="M293" s="28"/>
      <c r="O293" s="28"/>
      <c r="W293" s="30"/>
      <c r="X293" s="28"/>
    </row>
    <row r="294" customFormat="false" ht="13.8" hidden="false" customHeight="false" outlineLevel="0" collapsed="false">
      <c r="F294" s="2"/>
      <c r="G294" s="28"/>
      <c r="H294" s="2"/>
      <c r="I294" s="4"/>
      <c r="K294" s="28"/>
      <c r="L294" s="2"/>
      <c r="M294" s="28"/>
      <c r="O294" s="28"/>
      <c r="W294" s="30"/>
      <c r="X294" s="28"/>
    </row>
    <row r="295" customFormat="false" ht="13.8" hidden="false" customHeight="false" outlineLevel="0" collapsed="false">
      <c r="F295" s="2"/>
      <c r="G295" s="28"/>
      <c r="H295" s="2"/>
      <c r="I295" s="4"/>
      <c r="K295" s="28"/>
      <c r="L295" s="2"/>
      <c r="M295" s="28"/>
      <c r="O295" s="28"/>
      <c r="W295" s="30"/>
      <c r="X295" s="28"/>
    </row>
    <row r="296" customFormat="false" ht="13.8" hidden="false" customHeight="false" outlineLevel="0" collapsed="false">
      <c r="F296" s="2"/>
      <c r="G296" s="28"/>
      <c r="H296" s="2"/>
      <c r="I296" s="4"/>
      <c r="K296" s="28"/>
      <c r="L296" s="2"/>
      <c r="M296" s="28"/>
      <c r="O296" s="28"/>
      <c r="W296" s="30"/>
      <c r="X296" s="28"/>
    </row>
    <row r="297" customFormat="false" ht="13.8" hidden="false" customHeight="false" outlineLevel="0" collapsed="false">
      <c r="F297" s="2"/>
      <c r="G297" s="28"/>
      <c r="H297" s="2"/>
      <c r="I297" s="4"/>
      <c r="K297" s="28"/>
      <c r="L297" s="2"/>
      <c r="M297" s="28"/>
      <c r="O297" s="28"/>
      <c r="W297" s="30"/>
      <c r="X297" s="28"/>
    </row>
    <row r="298" customFormat="false" ht="13.8" hidden="false" customHeight="false" outlineLevel="0" collapsed="false">
      <c r="F298" s="2"/>
      <c r="G298" s="28"/>
      <c r="H298" s="2"/>
      <c r="I298" s="4"/>
      <c r="K298" s="28"/>
      <c r="L298" s="2"/>
      <c r="M298" s="28"/>
      <c r="O298" s="28"/>
      <c r="W298" s="30"/>
      <c r="X298" s="28"/>
    </row>
    <row r="299" customFormat="false" ht="13.8" hidden="false" customHeight="false" outlineLevel="0" collapsed="false">
      <c r="F299" s="2"/>
      <c r="G299" s="28"/>
      <c r="H299" s="2"/>
      <c r="I299" s="4"/>
      <c r="K299" s="28"/>
      <c r="L299" s="2"/>
      <c r="M299" s="28"/>
      <c r="O299" s="28"/>
      <c r="W299" s="30"/>
      <c r="X299" s="28"/>
    </row>
    <row r="300" customFormat="false" ht="13.8" hidden="false" customHeight="false" outlineLevel="0" collapsed="false">
      <c r="F300" s="2"/>
      <c r="G300" s="28"/>
      <c r="H300" s="2"/>
      <c r="I300" s="4"/>
      <c r="K300" s="28"/>
      <c r="L300" s="2"/>
      <c r="M300" s="28"/>
      <c r="O300" s="28"/>
      <c r="W300" s="30"/>
      <c r="X300" s="28"/>
    </row>
    <row r="301" customFormat="false" ht="13.8" hidden="false" customHeight="false" outlineLevel="0" collapsed="false">
      <c r="F301" s="2"/>
      <c r="G301" s="28"/>
      <c r="H301" s="2"/>
      <c r="I301" s="4"/>
      <c r="K301" s="28"/>
      <c r="L301" s="2"/>
      <c r="M301" s="28"/>
      <c r="O301" s="28"/>
      <c r="W301" s="30"/>
      <c r="X301" s="28"/>
    </row>
    <row r="302" customFormat="false" ht="13.8" hidden="false" customHeight="false" outlineLevel="0" collapsed="false">
      <c r="F302" s="2"/>
      <c r="G302" s="28"/>
      <c r="H302" s="2"/>
      <c r="I302" s="4"/>
      <c r="K302" s="28"/>
      <c r="L302" s="2"/>
      <c r="M302" s="28"/>
      <c r="O302" s="28"/>
      <c r="W302" s="30"/>
      <c r="X302" s="28"/>
    </row>
    <row r="303" customFormat="false" ht="13.8" hidden="false" customHeight="false" outlineLevel="0" collapsed="false">
      <c r="F303" s="2"/>
      <c r="G303" s="28"/>
      <c r="H303" s="2"/>
      <c r="I303" s="4"/>
      <c r="K303" s="28"/>
      <c r="L303" s="2"/>
      <c r="M303" s="28"/>
      <c r="O303" s="28"/>
      <c r="W303" s="30"/>
      <c r="X303" s="28"/>
    </row>
    <row r="304" customFormat="false" ht="13.8" hidden="false" customHeight="false" outlineLevel="0" collapsed="false">
      <c r="F304" s="2"/>
      <c r="G304" s="28"/>
      <c r="H304" s="2"/>
      <c r="I304" s="4"/>
      <c r="K304" s="28"/>
      <c r="L304" s="2"/>
      <c r="M304" s="28"/>
      <c r="O304" s="28"/>
      <c r="W304" s="30"/>
      <c r="X304" s="28"/>
    </row>
    <row r="305" customFormat="false" ht="13.8" hidden="false" customHeight="false" outlineLevel="0" collapsed="false">
      <c r="F305" s="2"/>
      <c r="G305" s="28"/>
      <c r="H305" s="2"/>
      <c r="I305" s="4"/>
      <c r="K305" s="28"/>
      <c r="L305" s="2"/>
      <c r="M305" s="28"/>
      <c r="O305" s="28"/>
      <c r="W305" s="30"/>
      <c r="X305" s="28"/>
    </row>
    <row r="306" customFormat="false" ht="13.8" hidden="false" customHeight="false" outlineLevel="0" collapsed="false">
      <c r="F306" s="2"/>
      <c r="G306" s="28"/>
      <c r="H306" s="2"/>
      <c r="I306" s="4"/>
      <c r="K306" s="28"/>
      <c r="L306" s="2"/>
      <c r="M306" s="28"/>
      <c r="O306" s="28"/>
      <c r="W306" s="30"/>
      <c r="X306" s="28"/>
    </row>
    <row r="307" customFormat="false" ht="13.8" hidden="false" customHeight="false" outlineLevel="0" collapsed="false">
      <c r="F307" s="2"/>
      <c r="G307" s="28"/>
      <c r="H307" s="2"/>
      <c r="I307" s="4"/>
      <c r="K307" s="28"/>
      <c r="L307" s="2"/>
      <c r="M307" s="28"/>
      <c r="O307" s="28"/>
      <c r="W307" s="30"/>
      <c r="X307" s="28"/>
    </row>
    <row r="308" customFormat="false" ht="13.8" hidden="false" customHeight="false" outlineLevel="0" collapsed="false">
      <c r="G308" s="28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8"/>
    <col collapsed="false" customWidth="true" hidden="false" outlineLevel="0" max="4" min="4" style="1" width="72"/>
  </cols>
  <sheetData>
    <row r="1" customFormat="false" ht="15" hidden="false" customHeight="false" outlineLevel="0" collapsed="false">
      <c r="A1" s="31" t="s">
        <v>50</v>
      </c>
      <c r="B1" s="31" t="s">
        <v>51</v>
      </c>
      <c r="C1" s="32"/>
      <c r="D1" s="31" t="s">
        <v>52</v>
      </c>
    </row>
    <row r="2" customFormat="false" ht="15" hidden="false" customHeight="false" outlineLevel="0" collapsed="false">
      <c r="A2" s="33" t="s">
        <v>53</v>
      </c>
      <c r="B2" s="34" t="s">
        <v>54</v>
      </c>
      <c r="C2" s="32"/>
      <c r="D2" s="32" t="s">
        <v>55</v>
      </c>
    </row>
    <row r="3" customFormat="false" ht="23.85" hidden="false" customHeight="false" outlineLevel="0" collapsed="false">
      <c r="A3" s="33" t="s">
        <v>56</v>
      </c>
      <c r="B3" s="34" t="s">
        <v>10</v>
      </c>
      <c r="C3" s="32"/>
      <c r="D3" s="32" t="s">
        <v>57</v>
      </c>
    </row>
    <row r="4" customFormat="false" ht="23.85" hidden="false" customHeight="false" outlineLevel="0" collapsed="false">
      <c r="A4" s="33" t="s">
        <v>58</v>
      </c>
      <c r="B4" s="34" t="s">
        <v>59</v>
      </c>
      <c r="C4" s="32"/>
      <c r="D4" s="32" t="s">
        <v>60</v>
      </c>
    </row>
    <row r="5" customFormat="false" ht="15" hidden="false" customHeight="false" outlineLevel="0" collapsed="false">
      <c r="A5" s="33" t="s">
        <v>61</v>
      </c>
      <c r="B5" s="34" t="s">
        <v>4</v>
      </c>
      <c r="C5" s="32"/>
      <c r="D5" s="32" t="s">
        <v>62</v>
      </c>
    </row>
    <row r="6" customFormat="false" ht="23.85" hidden="false" customHeight="false" outlineLevel="0" collapsed="false">
      <c r="A6" s="33" t="s">
        <v>63</v>
      </c>
      <c r="B6" s="34" t="s">
        <v>64</v>
      </c>
      <c r="C6" s="32"/>
      <c r="D6" s="32" t="s">
        <v>65</v>
      </c>
    </row>
    <row r="7" customFormat="false" ht="23.85" hidden="false" customHeight="false" outlineLevel="0" collapsed="false">
      <c r="A7" s="32"/>
      <c r="B7" s="32"/>
      <c r="C7" s="32"/>
      <c r="D7" s="32" t="s">
        <v>66</v>
      </c>
    </row>
    <row r="8" customFormat="false" ht="35.05" hidden="false" customHeight="false" outlineLevel="0" collapsed="false">
      <c r="A8" s="31" t="s">
        <v>67</v>
      </c>
      <c r="B8" s="31" t="s">
        <v>51</v>
      </c>
      <c r="C8" s="32"/>
      <c r="D8" s="32" t="s">
        <v>68</v>
      </c>
    </row>
    <row r="9" customFormat="false" ht="15" hidden="false" customHeight="false" outlineLevel="0" collapsed="false">
      <c r="A9" s="33" t="s">
        <v>69</v>
      </c>
      <c r="B9" s="32" t="n">
        <f aca="false">COUNTIF(Calculations!$A$2:$A$261,1)</f>
        <v>47</v>
      </c>
      <c r="C9" s="32"/>
      <c r="D9" s="32"/>
    </row>
    <row r="10" customFormat="false" ht="15" hidden="false" customHeight="false" outlineLevel="0" collapsed="false">
      <c r="A10" s="33" t="s">
        <v>70</v>
      </c>
      <c r="B10" s="32" t="n">
        <f aca="false">COUNT(Schedule!I2:I261)</f>
        <v>40</v>
      </c>
      <c r="C10" s="32"/>
      <c r="D10" s="32"/>
    </row>
    <row r="11" customFormat="false" ht="15" hidden="false" customHeight="false" outlineLevel="0" collapsed="false">
      <c r="A11" s="33" t="s">
        <v>71</v>
      </c>
      <c r="B11" s="32" t="n">
        <f aca="false">COUNTIF(Schedule!I2:I261,"No class")</f>
        <v>5</v>
      </c>
      <c r="C11" s="32"/>
      <c r="D11" s="32"/>
    </row>
    <row r="12" customFormat="false" ht="15" hidden="false" customHeight="false" outlineLevel="0" collapsed="false">
      <c r="A12" s="33" t="s">
        <v>72</v>
      </c>
      <c r="B12" s="32" t="n">
        <f aca="false">COUNTA(Schedule!I2:I261)-COUNT(Schedule!I2:I261)-COUNTIF(Schedule!I2:I261,"No class")</f>
        <v>2</v>
      </c>
      <c r="C12" s="32"/>
      <c r="D12" s="32"/>
    </row>
    <row r="13" customFormat="false" ht="15" hidden="false" customHeight="false" outlineLevel="0" collapsed="false">
      <c r="A13" s="1" t="s">
        <v>73</v>
      </c>
      <c r="B13" s="1" t="n">
        <f aca="false">MAX(IFERROR(LOOKUP(2,1/(Schedule!$I$2:$I$261&lt;&gt;""),ROW(Schedule!$I$2:$I$261)),1),IFERROR(LOOKUP(2,1/(Schedule!$J$2:$J$261&lt;&gt;""),ROW(Schedule!$J$2:$J$261)),1))</f>
        <v>48</v>
      </c>
      <c r="D13" s="1" t="s">
        <v>74</v>
      </c>
    </row>
    <row r="14" customFormat="false" ht="15" hidden="false" customHeight="false" outlineLevel="0" collapsed="false">
      <c r="A14" s="1" t="s">
        <v>75</v>
      </c>
      <c r="B14" s="35" t="s">
        <v>76</v>
      </c>
      <c r="D14" s="1" t="s">
        <v>77</v>
      </c>
    </row>
    <row r="15" customFormat="false" ht="15" hidden="false" customHeight="false" outlineLevel="0" collapsed="false">
      <c r="A15" s="1" t="s">
        <v>78</v>
      </c>
      <c r="B15" s="15" t="s">
        <v>79</v>
      </c>
      <c r="D15" s="1" t="s">
        <v>80</v>
      </c>
    </row>
  </sheetData>
  <sheetProtection sheet="true" objects="true" scenarios="true"/>
  <dataValidations count="1">
    <dataValidation allowBlank="false" errorStyle="stop" operator="between" showDropDown="false" showErrorMessage="false" showInputMessage="false" sqref="B14" type="list">
      <formula1>"tabular,longtable"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1" activeCellId="0" sqref="F261"/>
    </sheetView>
  </sheetViews>
  <sheetFormatPr defaultColWidth="8.73046875" defaultRowHeight="13.8" customHeight="false" zeroHeight="false" outlineLevelRow="0" outlineLevelCol="0"/>
  <cols>
    <col collapsed="false" customWidth="true" hidden="false" outlineLevel="0" max="1" min="1" style="2" width="19"/>
    <col collapsed="false" customWidth="true" hidden="false" outlineLevel="0" max="2" min="2" style="1" width="15"/>
    <col collapsed="false" customWidth="true" hidden="false" outlineLevel="0" max="3" min="3" style="2" width="11.11"/>
    <col collapsed="false" customWidth="true" hidden="false" outlineLevel="0" max="4" min="4" style="2" width="9.56"/>
    <col collapsed="false" customWidth="true" hidden="false" outlineLevel="0" max="5" min="5" style="2" width="4.17"/>
    <col collapsed="false" customWidth="true" hidden="false" outlineLevel="0" max="6" min="6" style="2" width="10.99"/>
    <col collapsed="false" customWidth="true" hidden="false" outlineLevel="0" max="8" min="8" style="2" width="4.39"/>
    <col collapsed="false" customWidth="true" hidden="false" outlineLevel="0" max="9" min="9" style="2" width="4.74"/>
    <col collapsed="false" customWidth="true" hidden="false" outlineLevel="0" max="10" min="10" style="2" width="4.97"/>
    <col collapsed="false" customWidth="true" hidden="false" outlineLevel="0" max="11" min="11" style="2" width="4.17"/>
    <col collapsed="false" customWidth="true" hidden="false" outlineLevel="0" max="12" min="12" style="1" width="18"/>
    <col collapsed="false" customWidth="true" hidden="false" outlineLevel="0" max="14" min="14" style="2" width="10.53"/>
    <col collapsed="false" customWidth="true" hidden="false" outlineLevel="0" max="16384" min="16384" style="1" width="11.53"/>
  </cols>
  <sheetData>
    <row r="1" customFormat="false" ht="28" hidden="false" customHeight="true" outlineLevel="0" collapsed="false">
      <c r="A1" s="36" t="s">
        <v>81</v>
      </c>
      <c r="B1" s="37" t="n">
        <f aca="false">Schedule!$B$1-WEEKDAY(Schedule!$B$1,2)+1</f>
        <v>44221</v>
      </c>
      <c r="L1" s="38" t="s">
        <v>82</v>
      </c>
    </row>
    <row r="2" customFormat="false" ht="28" hidden="false" customHeight="true" outlineLevel="0" collapsed="false">
      <c r="A2" s="39" t="s">
        <v>83</v>
      </c>
      <c r="B2" s="40" t="n">
        <f aca="false">$B$1+52*7-1</f>
        <v>44584</v>
      </c>
      <c r="C2" s="2" t="n">
        <f aca="false">IF(F2="","",IF(ROW()=2,INT((F2-$B$1)/7)+1,IF(INT((F2-$B$1)/7)&lt;&gt;INT((F1-$B$1)/7),INT((F2-$B$1)/7)+1,"")))</f>
        <v>1</v>
      </c>
      <c r="D2" s="2" t="str">
        <f aca="false">IF(C2="","","W"&amp;TEXT(C2,"00"))</f>
        <v>W01</v>
      </c>
      <c r="E2" s="2" t="n">
        <f aca="false">1</f>
        <v>1</v>
      </c>
      <c r="F2" s="41" t="n">
        <f aca="false">IF(L2="","",IF(Schedule!$B$1-1+L2&lt;=$B$2,Schedule!$B$1-1+L2,""))</f>
        <v>44221</v>
      </c>
      <c r="G2" s="2" t="str">
        <f aca="false">IF(F2="","",TEXT(F2,"ddd"))</f>
        <v>Mon</v>
      </c>
      <c r="H2" s="2" t="str">
        <f aca="false">IF(F2="","",CHOOSE(WEEKDAY(F2,2),"Mo","Tu","We","Th","Fr","Sa","Su"))</f>
        <v>Mo</v>
      </c>
      <c r="I2" s="2" t="n">
        <f aca="false">IF(F2="","",MONTH(F2))</f>
        <v>1</v>
      </c>
      <c r="J2" s="2" t="str">
        <f aca="false">IF(F2="","",TEXT(F2,"mmm"))</f>
        <v>Jan</v>
      </c>
      <c r="K2" s="2" t="n">
        <f aca="false">IF(F2="","",DAY(F2))</f>
        <v>25</v>
      </c>
      <c r="L2" s="1" t="n">
        <f aca="false">IF(COUNTA(Schedule!$B$6:$B$10)=0,"",MIN(IF(MID($B$3,WEEKDAY(Schedule!$B$1-1+1,2),1)="C",1,99),IF(MID($B$3,WEEKDAY(Schedule!$B$1-1+2,2),1)="C",2,99),IF(MID($B$3,WEEKDAY(Schedule!$B$1-1+3,2),1)="C",3,99),IF(MID($B$3,WEEKDAY(Schedule!$B$1-1+4,2),1)="C",4,99),IF(MID($B$3,WEEKDAY(Schedule!$B$1-1+5,2),1)="C",5,99),IF(MID($B$3,WEEKDAY(Schedule!$B$1-1+6,2),1)="C",6,99),IF(MID($B$3,WEEKDAY(Schedule!$B$1-1+7,2),1)="C",7,99)))</f>
        <v>1</v>
      </c>
    </row>
    <row r="3" customFormat="false" ht="28" hidden="false" customHeight="true" outlineLevel="0" collapsed="false">
      <c r="A3" s="42" t="s">
        <v>84</v>
      </c>
      <c r="B3" s="43" t="str">
        <f aca="false">IF(Schedule!$B$6&lt;&gt;"","C","N")&amp;IF(Schedule!$B$7&lt;&gt;"","C","N")&amp;IF(Schedule!$B$8&lt;&gt;"","C","N")&amp;IF(Schedule!$B$9&lt;&gt;"","C","N")&amp;IF(Schedule!$B$10&lt;&gt;"","C","N")&amp;"NN"</f>
        <v>CNCNCNN</v>
      </c>
      <c r="C3" s="2" t="str">
        <f aca="false">IF(F3="","",IF(ROW()=2,INT((F3-$B$1)/7)+1,IF(INT((F3-$B$1)/7)&lt;&gt;INT((F2-$B$1)/7),INT((F3-$B$1)/7)+1,"")))</f>
        <v/>
      </c>
      <c r="D3" s="2" t="str">
        <f aca="false">IF(C3="","","W"&amp;TEXT(C3,"00"))</f>
        <v/>
      </c>
      <c r="E3" s="2" t="n">
        <f aca="false">E2+1</f>
        <v>2</v>
      </c>
      <c r="F3" s="41" t="n">
        <f aca="false">IF(L3="","",IF(F2+L3&lt;=$B$2,F2+L3,""))</f>
        <v>44223</v>
      </c>
      <c r="G3" s="2" t="str">
        <f aca="false">IF(F3="","",TEXT(F3,"ddd"))</f>
        <v>Wed</v>
      </c>
      <c r="H3" s="2" t="str">
        <f aca="false">IF(F3="","",CHOOSE(WEEKDAY(F3,2),"Mo","Tu","We","Th","Fr","Sa","Su"))</f>
        <v>We</v>
      </c>
      <c r="I3" s="2" t="n">
        <f aca="false">IF(F3="","",MONTH(F3))</f>
        <v>1</v>
      </c>
      <c r="J3" s="2" t="str">
        <f aca="false">IF(F3="","",TEXT(F3,"mmm"))</f>
        <v>Jan</v>
      </c>
      <c r="K3" s="2" t="n">
        <f aca="false">IF(F3="","",DAY(F3))</f>
        <v>27</v>
      </c>
      <c r="L3" s="1" t="n">
        <f aca="false">IF(F2="","",MIN(IF(MID($B$3,WEEKDAY(F2+1,2),1)="C",1,99),IF(MID($B$3,WEEKDAY(F2+2,2),1)="C",2,99),IF(MID($B$3,WEEKDAY(F2+3,2),1)="C",3,99),IF(MID($B$3,WEEKDAY(F2+4,2),1)="C",4,99),IF(MID($B$3,WEEKDAY(F2+5,2),1)="C",5,99),IF(MID($B$3,WEEKDAY(F2+6,2),1)="C",6,99),IF(MID($B$3,WEEKDAY(F2+7,2),1)="C",7,99)))</f>
        <v>2</v>
      </c>
    </row>
    <row r="4" customFormat="false" ht="13.8" hidden="false" customHeight="false" outlineLevel="0" collapsed="false">
      <c r="A4" s="44"/>
      <c r="C4" s="2" t="str">
        <f aca="false">IF(F4="","",IF(ROW()=2,INT((F4-$B$1)/7)+1,IF(INT((F4-$B$1)/7)&lt;&gt;INT((F3-$B$1)/7),INT((F4-$B$1)/7)+1,"")))</f>
        <v/>
      </c>
      <c r="D4" s="2" t="str">
        <f aca="false">IF(C4="","","W"&amp;TEXT(C4,"00"))</f>
        <v/>
      </c>
      <c r="E4" s="2" t="n">
        <f aca="false">E3+1</f>
        <v>3</v>
      </c>
      <c r="F4" s="41" t="n">
        <f aca="false">IF(L4="","",IF(F3+L4&lt;=$B$2,F3+L4,""))</f>
        <v>44225</v>
      </c>
      <c r="G4" s="2" t="str">
        <f aca="false">IF(F4="","",TEXT(F4,"ddd"))</f>
        <v>Fri</v>
      </c>
      <c r="H4" s="2" t="str">
        <f aca="false">IF(F4="","",CHOOSE(WEEKDAY(F4,2),"Mo","Tu","We","Th","Fr","Sa","Su"))</f>
        <v>Fr</v>
      </c>
      <c r="I4" s="2" t="n">
        <f aca="false">IF(F4="","",MONTH(F4))</f>
        <v>1</v>
      </c>
      <c r="J4" s="2" t="str">
        <f aca="false">IF(F4="","",TEXT(F4,"mmm"))</f>
        <v>Jan</v>
      </c>
      <c r="K4" s="2" t="n">
        <f aca="false">IF(F4="","",DAY(F4))</f>
        <v>29</v>
      </c>
      <c r="L4" s="1" t="n">
        <f aca="false">IF(F3="","",MIN(IF(MID($B$3,WEEKDAY(F3+1,2),1)="C",1,99),IF(MID($B$3,WEEKDAY(F3+2,2),1)="C",2,99),IF(MID($B$3,WEEKDAY(F3+3,2),1)="C",3,99),IF(MID($B$3,WEEKDAY(F3+4,2),1)="C",4,99),IF(MID($B$3,WEEKDAY(F3+5,2),1)="C",5,99),IF(MID($B$3,WEEKDAY(F3+6,2),1)="C",6,99),IF(MID($B$3,WEEKDAY(F3+7,2),1)="C",7,99)))</f>
        <v>2</v>
      </c>
    </row>
    <row r="5" customFormat="false" ht="13.8" hidden="false" customHeight="false" outlineLevel="0" collapsed="false">
      <c r="C5" s="2" t="n">
        <f aca="false">IF(F5="","",IF(ROW()=2,INT((F5-$B$1)/7)+1,IF(INT((F5-$B$1)/7)&lt;&gt;INT((F4-$B$1)/7),INT((F5-$B$1)/7)+1,"")))</f>
        <v>2</v>
      </c>
      <c r="D5" s="2" t="str">
        <f aca="false">IF(C5="","","W"&amp;TEXT(C5,"00"))</f>
        <v>W02</v>
      </c>
      <c r="E5" s="2" t="n">
        <f aca="false">E4+1</f>
        <v>4</v>
      </c>
      <c r="F5" s="41" t="n">
        <f aca="false">IF(L5="","",IF(F4+L5&lt;=$B$2,F4+L5,""))</f>
        <v>44228</v>
      </c>
      <c r="G5" s="2" t="str">
        <f aca="false">IF(F5="","",TEXT(F5,"ddd"))</f>
        <v>Mon</v>
      </c>
      <c r="H5" s="2" t="str">
        <f aca="false">IF(F5="","",CHOOSE(WEEKDAY(F5,2),"Mo","Tu","We","Th","Fr","Sa","Su"))</f>
        <v>Mo</v>
      </c>
      <c r="I5" s="2" t="n">
        <f aca="false">IF(F5="","",MONTH(F5))</f>
        <v>2</v>
      </c>
      <c r="J5" s="2" t="str">
        <f aca="false">IF(F5="","",TEXT(F5,"mmm"))</f>
        <v>Feb</v>
      </c>
      <c r="K5" s="2" t="n">
        <f aca="false">IF(F5="","",DAY(F5))</f>
        <v>1</v>
      </c>
      <c r="L5" s="1" t="n">
        <f aca="false">IF(F4="","",MIN(IF(MID($B$3,WEEKDAY(F4+1,2),1)="C",1,99),IF(MID($B$3,WEEKDAY(F4+2,2),1)="C",2,99),IF(MID($B$3,WEEKDAY(F4+3,2),1)="C",3,99),IF(MID($B$3,WEEKDAY(F4+4,2),1)="C",4,99),IF(MID($B$3,WEEKDAY(F4+5,2),1)="C",5,99),IF(MID($B$3,WEEKDAY(F4+6,2),1)="C",6,99),IF(MID($B$3,WEEKDAY(F4+7,2),1)="C",7,99)))</f>
        <v>3</v>
      </c>
    </row>
    <row r="6" customFormat="false" ht="13.8" hidden="false" customHeight="false" outlineLevel="0" collapsed="false">
      <c r="C6" s="2" t="str">
        <f aca="false">IF(F6="","",IF(ROW()=2,INT((F6-$B$1)/7)+1,IF(INT((F6-$B$1)/7)&lt;&gt;INT((F5-$B$1)/7),INT((F6-$B$1)/7)+1,"")))</f>
        <v/>
      </c>
      <c r="D6" s="2" t="str">
        <f aca="false">IF(C6="","","W"&amp;TEXT(C6,"00"))</f>
        <v/>
      </c>
      <c r="E6" s="2" t="n">
        <f aca="false">E5+1</f>
        <v>5</v>
      </c>
      <c r="F6" s="41" t="n">
        <f aca="false">IF(L6="","",IF(F5+L6&lt;=$B$2,F5+L6,""))</f>
        <v>44230</v>
      </c>
      <c r="G6" s="2" t="str">
        <f aca="false">IF(F6="","",TEXT(F6,"ddd"))</f>
        <v>Wed</v>
      </c>
      <c r="H6" s="2" t="str">
        <f aca="false">IF(F6="","",CHOOSE(WEEKDAY(F6,2),"Mo","Tu","We","Th","Fr","Sa","Su"))</f>
        <v>We</v>
      </c>
      <c r="I6" s="2" t="n">
        <f aca="false">IF(F6="","",MONTH(F6))</f>
        <v>2</v>
      </c>
      <c r="J6" s="2" t="str">
        <f aca="false">IF(F6="","",TEXT(F6,"mmm"))</f>
        <v>Feb</v>
      </c>
      <c r="K6" s="2" t="n">
        <f aca="false">IF(F6="","",DAY(F6))</f>
        <v>3</v>
      </c>
      <c r="L6" s="1" t="n">
        <f aca="false">IF(F5="","",MIN(IF(MID($B$3,WEEKDAY(F5+1,2),1)="C",1,99),IF(MID($B$3,WEEKDAY(F5+2,2),1)="C",2,99),IF(MID($B$3,WEEKDAY(F5+3,2),1)="C",3,99),IF(MID($B$3,WEEKDAY(F5+4,2),1)="C",4,99),IF(MID($B$3,WEEKDAY(F5+5,2),1)="C",5,99),IF(MID($B$3,WEEKDAY(F5+6,2),1)="C",6,99),IF(MID($B$3,WEEKDAY(F5+7,2),1)="C",7,99)))</f>
        <v>2</v>
      </c>
    </row>
    <row r="7" customFormat="false" ht="13.8" hidden="false" customHeight="false" outlineLevel="0" collapsed="false">
      <c r="C7" s="2" t="str">
        <f aca="false">IF(F7="","",IF(ROW()=2,INT((F7-$B$1)/7)+1,IF(INT((F7-$B$1)/7)&lt;&gt;INT((F6-$B$1)/7),INT((F7-$B$1)/7)+1,"")))</f>
        <v/>
      </c>
      <c r="D7" s="2" t="str">
        <f aca="false">IF(C7="","","W"&amp;TEXT(C7,"00"))</f>
        <v/>
      </c>
      <c r="E7" s="2" t="n">
        <f aca="false">E6+1</f>
        <v>6</v>
      </c>
      <c r="F7" s="41" t="n">
        <f aca="false">IF(L7="","",IF(F6+L7&lt;=$B$2,F6+L7,""))</f>
        <v>44232</v>
      </c>
      <c r="G7" s="2" t="str">
        <f aca="false">IF(F7="","",TEXT(F7,"ddd"))</f>
        <v>Fri</v>
      </c>
      <c r="H7" s="2" t="str">
        <f aca="false">IF(F7="","",CHOOSE(WEEKDAY(F7,2),"Mo","Tu","We","Th","Fr","Sa","Su"))</f>
        <v>Fr</v>
      </c>
      <c r="I7" s="2" t="n">
        <f aca="false">IF(F7="","",MONTH(F7))</f>
        <v>2</v>
      </c>
      <c r="J7" s="2" t="str">
        <f aca="false">IF(F7="","",TEXT(F7,"mmm"))</f>
        <v>Feb</v>
      </c>
      <c r="K7" s="2" t="n">
        <f aca="false">IF(F7="","",DAY(F7))</f>
        <v>5</v>
      </c>
      <c r="L7" s="1" t="n">
        <f aca="false">IF(F6="","",MIN(IF(MID($B$3,WEEKDAY(F6+1,2),1)="C",1,99),IF(MID($B$3,WEEKDAY(F6+2,2),1)="C",2,99),IF(MID($B$3,WEEKDAY(F6+3,2),1)="C",3,99),IF(MID($B$3,WEEKDAY(F6+4,2),1)="C",4,99),IF(MID($B$3,WEEKDAY(F6+5,2),1)="C",5,99),IF(MID($B$3,WEEKDAY(F6+6,2),1)="C",6,99),IF(MID($B$3,WEEKDAY(F6+7,2),1)="C",7,99)))</f>
        <v>2</v>
      </c>
    </row>
    <row r="8" customFormat="false" ht="13.8" hidden="false" customHeight="false" outlineLevel="0" collapsed="false">
      <c r="C8" s="2" t="n">
        <f aca="false">IF(F8="","",IF(ROW()=2,INT((F8-$B$1)/7)+1,IF(INT((F8-$B$1)/7)&lt;&gt;INT((F7-$B$1)/7),INT((F8-$B$1)/7)+1,"")))</f>
        <v>3</v>
      </c>
      <c r="D8" s="2" t="str">
        <f aca="false">IF(C8="","","W"&amp;TEXT(C8,"00"))</f>
        <v>W03</v>
      </c>
      <c r="E8" s="2" t="n">
        <f aca="false">E7+1</f>
        <v>7</v>
      </c>
      <c r="F8" s="41" t="n">
        <f aca="false">IF(L8="","",IF(F7+L8&lt;=$B$2,F7+L8,""))</f>
        <v>44235</v>
      </c>
      <c r="G8" s="2" t="str">
        <f aca="false">IF(F8="","",TEXT(F8,"ddd"))</f>
        <v>Mon</v>
      </c>
      <c r="H8" s="2" t="str">
        <f aca="false">IF(F8="","",CHOOSE(WEEKDAY(F8,2),"Mo","Tu","We","Th","Fr","Sa","Su"))</f>
        <v>Mo</v>
      </c>
      <c r="I8" s="2" t="n">
        <f aca="false">IF(F8="","",MONTH(F8))</f>
        <v>2</v>
      </c>
      <c r="J8" s="2" t="str">
        <f aca="false">IF(F8="","",TEXT(F8,"mmm"))</f>
        <v>Feb</v>
      </c>
      <c r="K8" s="2" t="n">
        <f aca="false">IF(F8="","",DAY(F8))</f>
        <v>8</v>
      </c>
      <c r="L8" s="1" t="n">
        <f aca="false">IF(F7="","",MIN(IF(MID($B$3,WEEKDAY(F7+1,2),1)="C",1,99),IF(MID($B$3,WEEKDAY(F7+2,2),1)="C",2,99),IF(MID($B$3,WEEKDAY(F7+3,2),1)="C",3,99),IF(MID($B$3,WEEKDAY(F7+4,2),1)="C",4,99),IF(MID($B$3,WEEKDAY(F7+5,2),1)="C",5,99),IF(MID($B$3,WEEKDAY(F7+6,2),1)="C",6,99),IF(MID($B$3,WEEKDAY(F7+7,2),1)="C",7,99)))</f>
        <v>3</v>
      </c>
    </row>
    <row r="9" customFormat="false" ht="13.8" hidden="false" customHeight="false" outlineLevel="0" collapsed="false">
      <c r="C9" s="2" t="str">
        <f aca="false">IF(F9="","",IF(ROW()=2,INT((F9-$B$1)/7)+1,IF(INT((F9-$B$1)/7)&lt;&gt;INT((F8-$B$1)/7),INT((F9-$B$1)/7)+1,"")))</f>
        <v/>
      </c>
      <c r="D9" s="2" t="str">
        <f aca="false">IF(C9="","","W"&amp;TEXT(C9,"00"))</f>
        <v/>
      </c>
      <c r="E9" s="2" t="n">
        <f aca="false">E8+1</f>
        <v>8</v>
      </c>
      <c r="F9" s="41" t="n">
        <f aca="false">IF(L9="","",IF(F8+L9&lt;=$B$2,F8+L9,""))</f>
        <v>44237</v>
      </c>
      <c r="G9" s="2" t="str">
        <f aca="false">IF(F9="","",TEXT(F9,"ddd"))</f>
        <v>Wed</v>
      </c>
      <c r="H9" s="2" t="str">
        <f aca="false">IF(F9="","",CHOOSE(WEEKDAY(F9,2),"Mo","Tu","We","Th","Fr","Sa","Su"))</f>
        <v>We</v>
      </c>
      <c r="I9" s="2" t="n">
        <f aca="false">IF(F9="","",MONTH(F9))</f>
        <v>2</v>
      </c>
      <c r="J9" s="2" t="str">
        <f aca="false">IF(F9="","",TEXT(F9,"mmm"))</f>
        <v>Feb</v>
      </c>
      <c r="K9" s="2" t="n">
        <f aca="false">IF(F9="","",DAY(F9))</f>
        <v>10</v>
      </c>
      <c r="L9" s="1" t="n">
        <f aca="false">IF(F8="","",MIN(IF(MID($B$3,WEEKDAY(F8+1,2),1)="C",1,99),IF(MID($B$3,WEEKDAY(F8+2,2),1)="C",2,99),IF(MID($B$3,WEEKDAY(F8+3,2),1)="C",3,99),IF(MID($B$3,WEEKDAY(F8+4,2),1)="C",4,99),IF(MID($B$3,WEEKDAY(F8+5,2),1)="C",5,99),IF(MID($B$3,WEEKDAY(F8+6,2),1)="C",6,99),IF(MID($B$3,WEEKDAY(F8+7,2),1)="C",7,99)))</f>
        <v>2</v>
      </c>
    </row>
    <row r="10" customFormat="false" ht="13.8" hidden="false" customHeight="false" outlineLevel="0" collapsed="false">
      <c r="C10" s="2" t="str">
        <f aca="false">IF(F10="","",IF(ROW()=2,INT((F10-$B$1)/7)+1,IF(INT((F10-$B$1)/7)&lt;&gt;INT((F9-$B$1)/7),INT((F10-$B$1)/7)+1,"")))</f>
        <v/>
      </c>
      <c r="D10" s="2" t="str">
        <f aca="false">IF(C10="","","W"&amp;TEXT(C10,"00"))</f>
        <v/>
      </c>
      <c r="E10" s="2" t="n">
        <f aca="false">E9+1</f>
        <v>9</v>
      </c>
      <c r="F10" s="41" t="n">
        <f aca="false">IF(L10="","",IF(F9+L10&lt;=$B$2,F9+L10,""))</f>
        <v>44239</v>
      </c>
      <c r="G10" s="2" t="str">
        <f aca="false">IF(F10="","",TEXT(F10,"ddd"))</f>
        <v>Fri</v>
      </c>
      <c r="H10" s="2" t="str">
        <f aca="false">IF(F10="","",CHOOSE(WEEKDAY(F10,2),"Mo","Tu","We","Th","Fr","Sa","Su"))</f>
        <v>Fr</v>
      </c>
      <c r="I10" s="2" t="n">
        <f aca="false">IF(F10="","",MONTH(F10))</f>
        <v>2</v>
      </c>
      <c r="J10" s="2" t="str">
        <f aca="false">IF(F10="","",TEXT(F10,"mmm"))</f>
        <v>Feb</v>
      </c>
      <c r="K10" s="2" t="n">
        <f aca="false">IF(F10="","",DAY(F10))</f>
        <v>12</v>
      </c>
      <c r="L10" s="1" t="n">
        <f aca="false">IF(F9="","",MIN(IF(MID($B$3,WEEKDAY(F9+1,2),1)="C",1,99),IF(MID($B$3,WEEKDAY(F9+2,2),1)="C",2,99),IF(MID($B$3,WEEKDAY(F9+3,2),1)="C",3,99),IF(MID($B$3,WEEKDAY(F9+4,2),1)="C",4,99),IF(MID($B$3,WEEKDAY(F9+5,2),1)="C",5,99),IF(MID($B$3,WEEKDAY(F9+6,2),1)="C",6,99),IF(MID($B$3,WEEKDAY(F9+7,2),1)="C",7,99)))</f>
        <v>2</v>
      </c>
    </row>
    <row r="11" customFormat="false" ht="13.8" hidden="false" customHeight="false" outlineLevel="0" collapsed="false">
      <c r="C11" s="2" t="n">
        <f aca="false">IF(F11="","",IF(ROW()=2,INT((F11-$B$1)/7)+1,IF(INT((F11-$B$1)/7)&lt;&gt;INT((F10-$B$1)/7),INT((F11-$B$1)/7)+1,"")))</f>
        <v>4</v>
      </c>
      <c r="D11" s="2" t="str">
        <f aca="false">IF(C11="","","W"&amp;TEXT(C11,"00"))</f>
        <v>W04</v>
      </c>
      <c r="E11" s="2" t="n">
        <f aca="false">E10+1</f>
        <v>10</v>
      </c>
      <c r="F11" s="41" t="n">
        <f aca="false">IF(L11="","",IF(F10+L11&lt;=$B$2,F10+L11,""))</f>
        <v>44242</v>
      </c>
      <c r="G11" s="2" t="str">
        <f aca="false">IF(F11="","",TEXT(F11,"ddd"))</f>
        <v>Mon</v>
      </c>
      <c r="H11" s="2" t="str">
        <f aca="false">IF(F11="","",CHOOSE(WEEKDAY(F11,2),"Mo","Tu","We","Th","Fr","Sa","Su"))</f>
        <v>Mo</v>
      </c>
      <c r="I11" s="2" t="n">
        <f aca="false">IF(F11="","",MONTH(F11))</f>
        <v>2</v>
      </c>
      <c r="J11" s="2" t="str">
        <f aca="false">IF(F11="","",TEXT(F11,"mmm"))</f>
        <v>Feb</v>
      </c>
      <c r="K11" s="2" t="n">
        <f aca="false">IF(F11="","",DAY(F11))</f>
        <v>15</v>
      </c>
      <c r="L11" s="1" t="n">
        <f aca="false">IF(F10="","",MIN(IF(MID($B$3,WEEKDAY(F10+1,2),1)="C",1,99),IF(MID($B$3,WEEKDAY(F10+2,2),1)="C",2,99),IF(MID($B$3,WEEKDAY(F10+3,2),1)="C",3,99),IF(MID($B$3,WEEKDAY(F10+4,2),1)="C",4,99),IF(MID($B$3,WEEKDAY(F10+5,2),1)="C",5,99),IF(MID($B$3,WEEKDAY(F10+6,2),1)="C",6,99),IF(MID($B$3,WEEKDAY(F10+7,2),1)="C",7,99)))</f>
        <v>3</v>
      </c>
    </row>
    <row r="12" customFormat="false" ht="13.8" hidden="false" customHeight="false" outlineLevel="0" collapsed="false">
      <c r="C12" s="2" t="str">
        <f aca="false">IF(F12="","",IF(ROW()=2,INT((F12-$B$1)/7)+1,IF(INT((F12-$B$1)/7)&lt;&gt;INT((F11-$B$1)/7),INT((F12-$B$1)/7)+1,"")))</f>
        <v/>
      </c>
      <c r="D12" s="2" t="str">
        <f aca="false">IF(C12="","","W"&amp;TEXT(C12,"00"))</f>
        <v/>
      </c>
      <c r="E12" s="2" t="n">
        <f aca="false">E11+1</f>
        <v>11</v>
      </c>
      <c r="F12" s="41" t="n">
        <f aca="false">IF(L12="","",IF(F11+L12&lt;=$B$2,F11+L12,""))</f>
        <v>44244</v>
      </c>
      <c r="G12" s="2" t="str">
        <f aca="false">IF(F12="","",TEXT(F12,"ddd"))</f>
        <v>Wed</v>
      </c>
      <c r="H12" s="2" t="str">
        <f aca="false">IF(F12="","",CHOOSE(WEEKDAY(F12,2),"Mo","Tu","We","Th","Fr","Sa","Su"))</f>
        <v>We</v>
      </c>
      <c r="I12" s="2" t="n">
        <f aca="false">IF(F12="","",MONTH(F12))</f>
        <v>2</v>
      </c>
      <c r="J12" s="2" t="str">
        <f aca="false">IF(F12="","",TEXT(F12,"mmm"))</f>
        <v>Feb</v>
      </c>
      <c r="K12" s="2" t="n">
        <f aca="false">IF(F12="","",DAY(F12))</f>
        <v>17</v>
      </c>
      <c r="L12" s="1" t="n">
        <f aca="false">IF(F11="","",MIN(IF(MID($B$3,WEEKDAY(F11+1,2),1)="C",1,99),IF(MID($B$3,WEEKDAY(F11+2,2),1)="C",2,99),IF(MID($B$3,WEEKDAY(F11+3,2),1)="C",3,99),IF(MID($B$3,WEEKDAY(F11+4,2),1)="C",4,99),IF(MID($B$3,WEEKDAY(F11+5,2),1)="C",5,99),IF(MID($B$3,WEEKDAY(F11+6,2),1)="C",6,99),IF(MID($B$3,WEEKDAY(F11+7,2),1)="C",7,99)))</f>
        <v>2</v>
      </c>
    </row>
    <row r="13" customFormat="false" ht="13.8" hidden="false" customHeight="false" outlineLevel="0" collapsed="false">
      <c r="C13" s="2" t="str">
        <f aca="false">IF(F13="","",IF(ROW()=2,INT((F13-$B$1)/7)+1,IF(INT((F13-$B$1)/7)&lt;&gt;INT((F12-$B$1)/7),INT((F13-$B$1)/7)+1,"")))</f>
        <v/>
      </c>
      <c r="D13" s="2" t="str">
        <f aca="false">IF(C13="","","W"&amp;TEXT(C13,"00"))</f>
        <v/>
      </c>
      <c r="E13" s="2" t="n">
        <f aca="false">E12+1</f>
        <v>12</v>
      </c>
      <c r="F13" s="41" t="n">
        <f aca="false">IF(L13="","",IF(F12+L13&lt;=$B$2,F12+L13,""))</f>
        <v>44246</v>
      </c>
      <c r="G13" s="2" t="str">
        <f aca="false">IF(F13="","",TEXT(F13,"ddd"))</f>
        <v>Fri</v>
      </c>
      <c r="H13" s="2" t="str">
        <f aca="false">IF(F13="","",CHOOSE(WEEKDAY(F13,2),"Mo","Tu","We","Th","Fr","Sa","Su"))</f>
        <v>Fr</v>
      </c>
      <c r="I13" s="2" t="n">
        <f aca="false">IF(F13="","",MONTH(F13))</f>
        <v>2</v>
      </c>
      <c r="J13" s="2" t="str">
        <f aca="false">IF(F13="","",TEXT(F13,"mmm"))</f>
        <v>Feb</v>
      </c>
      <c r="K13" s="2" t="n">
        <f aca="false">IF(F13="","",DAY(F13))</f>
        <v>19</v>
      </c>
      <c r="L13" s="1" t="n">
        <f aca="false">IF(F12="","",MIN(IF(MID($B$3,WEEKDAY(F12+1,2),1)="C",1,99),IF(MID($B$3,WEEKDAY(F12+2,2),1)="C",2,99),IF(MID($B$3,WEEKDAY(F12+3,2),1)="C",3,99),IF(MID($B$3,WEEKDAY(F12+4,2),1)="C",4,99),IF(MID($B$3,WEEKDAY(F12+5,2),1)="C",5,99),IF(MID($B$3,WEEKDAY(F12+6,2),1)="C",6,99),IF(MID($B$3,WEEKDAY(F12+7,2),1)="C",7,99)))</f>
        <v>2</v>
      </c>
    </row>
    <row r="14" customFormat="false" ht="13.8" hidden="false" customHeight="false" outlineLevel="0" collapsed="false">
      <c r="C14" s="2" t="n">
        <f aca="false">IF(F14="","",IF(ROW()=2,INT((F14-$B$1)/7)+1,IF(INT((F14-$B$1)/7)&lt;&gt;INT((F13-$B$1)/7),INT((F14-$B$1)/7)+1,"")))</f>
        <v>5</v>
      </c>
      <c r="D14" s="2" t="str">
        <f aca="false">IF(C14="","","W"&amp;TEXT(C14,"00"))</f>
        <v>W05</v>
      </c>
      <c r="E14" s="2" t="n">
        <f aca="false">E13+1</f>
        <v>13</v>
      </c>
      <c r="F14" s="41" t="n">
        <f aca="false">IF(L14="","",IF(F13+L14&lt;=$B$2,F13+L14,""))</f>
        <v>44249</v>
      </c>
      <c r="G14" s="2" t="str">
        <f aca="false">IF(F14="","",TEXT(F14,"ddd"))</f>
        <v>Mon</v>
      </c>
      <c r="H14" s="2" t="str">
        <f aca="false">IF(F14="","",CHOOSE(WEEKDAY(F14,2),"Mo","Tu","We","Th","Fr","Sa","Su"))</f>
        <v>Mo</v>
      </c>
      <c r="I14" s="2" t="n">
        <f aca="false">IF(F14="","",MONTH(F14))</f>
        <v>2</v>
      </c>
      <c r="J14" s="2" t="str">
        <f aca="false">IF(F14="","",TEXT(F14,"mmm"))</f>
        <v>Feb</v>
      </c>
      <c r="K14" s="2" t="n">
        <f aca="false">IF(F14="","",DAY(F14))</f>
        <v>22</v>
      </c>
      <c r="L14" s="1" t="n">
        <f aca="false">IF(F13="","",MIN(IF(MID($B$3,WEEKDAY(F13+1,2),1)="C",1,99),IF(MID($B$3,WEEKDAY(F13+2,2),1)="C",2,99),IF(MID($B$3,WEEKDAY(F13+3,2),1)="C",3,99),IF(MID($B$3,WEEKDAY(F13+4,2),1)="C",4,99),IF(MID($B$3,WEEKDAY(F13+5,2),1)="C",5,99),IF(MID($B$3,WEEKDAY(F13+6,2),1)="C",6,99),IF(MID($B$3,WEEKDAY(F13+7,2),1)="C",7,99)))</f>
        <v>3</v>
      </c>
    </row>
    <row r="15" customFormat="false" ht="13.8" hidden="false" customHeight="false" outlineLevel="0" collapsed="false">
      <c r="C15" s="2" t="str">
        <f aca="false">IF(F15="","",IF(ROW()=2,INT((F15-$B$1)/7)+1,IF(INT((F15-$B$1)/7)&lt;&gt;INT((F14-$B$1)/7),INT((F15-$B$1)/7)+1,"")))</f>
        <v/>
      </c>
      <c r="D15" s="2" t="str">
        <f aca="false">IF(C15="","","W"&amp;TEXT(C15,"00"))</f>
        <v/>
      </c>
      <c r="E15" s="2" t="n">
        <f aca="false">E14+1</f>
        <v>14</v>
      </c>
      <c r="F15" s="41" t="n">
        <f aca="false">IF(L15="","",IF(F14+L15&lt;=$B$2,F14+L15,""))</f>
        <v>44251</v>
      </c>
      <c r="G15" s="2" t="str">
        <f aca="false">IF(F15="","",TEXT(F15,"ddd"))</f>
        <v>Wed</v>
      </c>
      <c r="H15" s="2" t="str">
        <f aca="false">IF(F15="","",CHOOSE(WEEKDAY(F15,2),"Mo","Tu","We","Th","Fr","Sa","Su"))</f>
        <v>We</v>
      </c>
      <c r="I15" s="2" t="n">
        <f aca="false">IF(F15="","",MONTH(F15))</f>
        <v>2</v>
      </c>
      <c r="J15" s="2" t="str">
        <f aca="false">IF(F15="","",TEXT(F15,"mmm"))</f>
        <v>Feb</v>
      </c>
      <c r="K15" s="2" t="n">
        <f aca="false">IF(F15="","",DAY(F15))</f>
        <v>24</v>
      </c>
      <c r="L15" s="1" t="n">
        <f aca="false">IF(F14="","",MIN(IF(MID($B$3,WEEKDAY(F14+1,2),1)="C",1,99),IF(MID($B$3,WEEKDAY(F14+2,2),1)="C",2,99),IF(MID($B$3,WEEKDAY(F14+3,2),1)="C",3,99),IF(MID($B$3,WEEKDAY(F14+4,2),1)="C",4,99),IF(MID($B$3,WEEKDAY(F14+5,2),1)="C",5,99),IF(MID($B$3,WEEKDAY(F14+6,2),1)="C",6,99),IF(MID($B$3,WEEKDAY(F14+7,2),1)="C",7,99)))</f>
        <v>2</v>
      </c>
      <c r="N15" s="45"/>
      <c r="O15" s="2"/>
    </row>
    <row r="16" customFormat="false" ht="13.8" hidden="false" customHeight="false" outlineLevel="0" collapsed="false">
      <c r="C16" s="2" t="str">
        <f aca="false">IF(F16="","",IF(ROW()=2,INT((F16-$B$1)/7)+1,IF(INT((F16-$B$1)/7)&lt;&gt;INT((F15-$B$1)/7),INT((F16-$B$1)/7)+1,"")))</f>
        <v/>
      </c>
      <c r="D16" s="2" t="str">
        <f aca="false">IF(C16="","","W"&amp;TEXT(C16,"00"))</f>
        <v/>
      </c>
      <c r="E16" s="2" t="n">
        <f aca="false">E15+1</f>
        <v>15</v>
      </c>
      <c r="F16" s="41" t="n">
        <f aca="false">IF(L16="","",IF(F15+L16&lt;=$B$2,F15+L16,""))</f>
        <v>44253</v>
      </c>
      <c r="G16" s="2" t="str">
        <f aca="false">IF(F16="","",TEXT(F16,"ddd"))</f>
        <v>Fri</v>
      </c>
      <c r="H16" s="2" t="str">
        <f aca="false">IF(F16="","",CHOOSE(WEEKDAY(F16,2),"Mo","Tu","We","Th","Fr","Sa","Su"))</f>
        <v>Fr</v>
      </c>
      <c r="I16" s="2" t="n">
        <f aca="false">IF(F16="","",MONTH(F16))</f>
        <v>2</v>
      </c>
      <c r="J16" s="2" t="str">
        <f aca="false">IF(F16="","",TEXT(F16,"mmm"))</f>
        <v>Feb</v>
      </c>
      <c r="K16" s="2" t="n">
        <f aca="false">IF(F16="","",DAY(F16))</f>
        <v>26</v>
      </c>
      <c r="L16" s="1" t="n">
        <f aca="false">IF(F15="","",MIN(IF(MID($B$3,WEEKDAY(F15+1,2),1)="C",1,99),IF(MID($B$3,WEEKDAY(F15+2,2),1)="C",2,99),IF(MID($B$3,WEEKDAY(F15+3,2),1)="C",3,99),IF(MID($B$3,WEEKDAY(F15+4,2),1)="C",4,99),IF(MID($B$3,WEEKDAY(F15+5,2),1)="C",5,99),IF(MID($B$3,WEEKDAY(F15+6,2),1)="C",6,99),IF(MID($B$3,WEEKDAY(F15+7,2),1)="C",7,99)))</f>
        <v>2</v>
      </c>
      <c r="N16" s="44"/>
      <c r="O16" s="2"/>
    </row>
    <row r="17" customFormat="false" ht="13.8" hidden="false" customHeight="false" outlineLevel="0" collapsed="false">
      <c r="C17" s="2" t="n">
        <f aca="false">IF(F17="","",IF(ROW()=2,INT((F17-$B$1)/7)+1,IF(INT((F17-$B$1)/7)&lt;&gt;INT((F16-$B$1)/7),INT((F17-$B$1)/7)+1,"")))</f>
        <v>6</v>
      </c>
      <c r="D17" s="2" t="str">
        <f aca="false">IF(C17="","","W"&amp;TEXT(C17,"00"))</f>
        <v>W06</v>
      </c>
      <c r="E17" s="2" t="n">
        <f aca="false">E16+1</f>
        <v>16</v>
      </c>
      <c r="F17" s="41" t="n">
        <f aca="false">IF(L17="","",IF(F16+L17&lt;=$B$2,F16+L17,""))</f>
        <v>44256</v>
      </c>
      <c r="G17" s="2" t="str">
        <f aca="false">IF(F17="","",TEXT(F17,"ddd"))</f>
        <v>Mon</v>
      </c>
      <c r="H17" s="2" t="str">
        <f aca="false">IF(F17="","",CHOOSE(WEEKDAY(F17,2),"Mo","Tu","We","Th","Fr","Sa","Su"))</f>
        <v>Mo</v>
      </c>
      <c r="I17" s="2" t="n">
        <f aca="false">IF(F17="","",MONTH(F17))</f>
        <v>3</v>
      </c>
      <c r="J17" s="2" t="str">
        <f aca="false">IF(F17="","",TEXT(F17,"mmm"))</f>
        <v>Mar</v>
      </c>
      <c r="K17" s="2" t="n">
        <f aca="false">IF(F17="","",DAY(F17))</f>
        <v>1</v>
      </c>
      <c r="L17" s="1" t="n">
        <f aca="false">IF(F16="","",MIN(IF(MID($B$3,WEEKDAY(F16+1,2),1)="C",1,99),IF(MID($B$3,WEEKDAY(F16+2,2),1)="C",2,99),IF(MID($B$3,WEEKDAY(F16+3,2),1)="C",3,99),IF(MID($B$3,WEEKDAY(F16+4,2),1)="C",4,99),IF(MID($B$3,WEEKDAY(F16+5,2),1)="C",5,99),IF(MID($B$3,WEEKDAY(F16+6,2),1)="C",6,99),IF(MID($B$3,WEEKDAY(F16+7,2),1)="C",7,99)))</f>
        <v>3</v>
      </c>
      <c r="N17" s="44"/>
      <c r="O17" s="2"/>
    </row>
    <row r="18" customFormat="false" ht="13.8" hidden="false" customHeight="false" outlineLevel="0" collapsed="false">
      <c r="C18" s="2" t="str">
        <f aca="false">IF(F18="","",IF(ROW()=2,INT((F18-$B$1)/7)+1,IF(INT((F18-$B$1)/7)&lt;&gt;INT((F17-$B$1)/7),INT((F18-$B$1)/7)+1,"")))</f>
        <v/>
      </c>
      <c r="D18" s="2" t="str">
        <f aca="false">IF(C18="","","W"&amp;TEXT(C18,"00"))</f>
        <v/>
      </c>
      <c r="E18" s="2" t="n">
        <f aca="false">E17+1</f>
        <v>17</v>
      </c>
      <c r="F18" s="41" t="n">
        <f aca="false">IF(L18="","",IF(F17+L18&lt;=$B$2,F17+L18,""))</f>
        <v>44258</v>
      </c>
      <c r="G18" s="2" t="str">
        <f aca="false">IF(F18="","",TEXT(F18,"ddd"))</f>
        <v>Wed</v>
      </c>
      <c r="H18" s="2" t="str">
        <f aca="false">IF(F18="","",CHOOSE(WEEKDAY(F18,2),"Mo","Tu","We","Th","Fr","Sa","Su"))</f>
        <v>We</v>
      </c>
      <c r="I18" s="2" t="n">
        <f aca="false">IF(F18="","",MONTH(F18))</f>
        <v>3</v>
      </c>
      <c r="J18" s="2" t="str">
        <f aca="false">IF(F18="","",TEXT(F18,"mmm"))</f>
        <v>Mar</v>
      </c>
      <c r="K18" s="2" t="n">
        <f aca="false">IF(F18="","",DAY(F18))</f>
        <v>3</v>
      </c>
      <c r="L18" s="1" t="n">
        <f aca="false">IF(F17="","",MIN(IF(MID($B$3,WEEKDAY(F17+1,2),1)="C",1,99),IF(MID($B$3,WEEKDAY(F17+2,2),1)="C",2,99),IF(MID($B$3,WEEKDAY(F17+3,2),1)="C",3,99),IF(MID($B$3,WEEKDAY(F17+4,2),1)="C",4,99),IF(MID($B$3,WEEKDAY(F17+5,2),1)="C",5,99),IF(MID($B$3,WEEKDAY(F17+6,2),1)="C",6,99),IF(MID($B$3,WEEKDAY(F17+7,2),1)="C",7,99)))</f>
        <v>2</v>
      </c>
      <c r="N18" s="44"/>
      <c r="O18" s="2"/>
    </row>
    <row r="19" customFormat="false" ht="13.8" hidden="false" customHeight="false" outlineLevel="0" collapsed="false">
      <c r="C19" s="2" t="str">
        <f aca="false">IF(F19="","",IF(ROW()=2,INT((F19-$B$1)/7)+1,IF(INT((F19-$B$1)/7)&lt;&gt;INT((F18-$B$1)/7),INT((F19-$B$1)/7)+1,"")))</f>
        <v/>
      </c>
      <c r="D19" s="2" t="str">
        <f aca="false">IF(C19="","","W"&amp;TEXT(C19,"00"))</f>
        <v/>
      </c>
      <c r="E19" s="2" t="n">
        <f aca="false">E18+1</f>
        <v>18</v>
      </c>
      <c r="F19" s="41" t="n">
        <f aca="false">IF(L19="","",IF(F18+L19&lt;=$B$2,F18+L19,""))</f>
        <v>44260</v>
      </c>
      <c r="G19" s="2" t="str">
        <f aca="false">IF(F19="","",TEXT(F19,"ddd"))</f>
        <v>Fri</v>
      </c>
      <c r="H19" s="2" t="str">
        <f aca="false">IF(F19="","",CHOOSE(WEEKDAY(F19,2),"Mo","Tu","We","Th","Fr","Sa","Su"))</f>
        <v>Fr</v>
      </c>
      <c r="I19" s="2" t="n">
        <f aca="false">IF(F19="","",MONTH(F19))</f>
        <v>3</v>
      </c>
      <c r="J19" s="2" t="str">
        <f aca="false">IF(F19="","",TEXT(F19,"mmm"))</f>
        <v>Mar</v>
      </c>
      <c r="K19" s="2" t="n">
        <f aca="false">IF(F19="","",DAY(F19))</f>
        <v>5</v>
      </c>
      <c r="L19" s="1" t="n">
        <f aca="false">IF(F18="","",MIN(IF(MID($B$3,WEEKDAY(F18+1,2),1)="C",1,99),IF(MID($B$3,WEEKDAY(F18+2,2),1)="C",2,99),IF(MID($B$3,WEEKDAY(F18+3,2),1)="C",3,99),IF(MID($B$3,WEEKDAY(F18+4,2),1)="C",4,99),IF(MID($B$3,WEEKDAY(F18+5,2),1)="C",5,99),IF(MID($B$3,WEEKDAY(F18+6,2),1)="C",6,99),IF(MID($B$3,WEEKDAY(F18+7,2),1)="C",7,99)))</f>
        <v>2</v>
      </c>
      <c r="N19" s="44"/>
      <c r="O19" s="2"/>
    </row>
    <row r="20" customFormat="false" ht="13.8" hidden="false" customHeight="false" outlineLevel="0" collapsed="false">
      <c r="C20" s="2" t="n">
        <f aca="false">IF(F20="","",IF(ROW()=2,INT((F20-$B$1)/7)+1,IF(INT((F20-$B$1)/7)&lt;&gt;INT((F19-$B$1)/7),INT((F20-$B$1)/7)+1,"")))</f>
        <v>7</v>
      </c>
      <c r="D20" s="2" t="str">
        <f aca="false">IF(C20="","","W"&amp;TEXT(C20,"00"))</f>
        <v>W07</v>
      </c>
      <c r="E20" s="2" t="n">
        <f aca="false">E19+1</f>
        <v>19</v>
      </c>
      <c r="F20" s="41" t="n">
        <f aca="false">IF(L20="","",IF(F19+L20&lt;=$B$2,F19+L20,""))</f>
        <v>44263</v>
      </c>
      <c r="G20" s="2" t="str">
        <f aca="false">IF(F20="","",TEXT(F20,"ddd"))</f>
        <v>Mon</v>
      </c>
      <c r="H20" s="2" t="str">
        <f aca="false">IF(F20="","",CHOOSE(WEEKDAY(F20,2),"Mo","Tu","We","Th","Fr","Sa","Su"))</f>
        <v>Mo</v>
      </c>
      <c r="I20" s="2" t="n">
        <f aca="false">IF(F20="","",MONTH(F20))</f>
        <v>3</v>
      </c>
      <c r="J20" s="2" t="str">
        <f aca="false">IF(F20="","",TEXT(F20,"mmm"))</f>
        <v>Mar</v>
      </c>
      <c r="K20" s="2" t="n">
        <f aca="false">IF(F20="","",DAY(F20))</f>
        <v>8</v>
      </c>
      <c r="L20" s="1" t="n">
        <f aca="false">IF(F19="","",MIN(IF(MID($B$3,WEEKDAY(F19+1,2),1)="C",1,99),IF(MID($B$3,WEEKDAY(F19+2,2),1)="C",2,99),IF(MID($B$3,WEEKDAY(F19+3,2),1)="C",3,99),IF(MID($B$3,WEEKDAY(F19+4,2),1)="C",4,99),IF(MID($B$3,WEEKDAY(F19+5,2),1)="C",5,99),IF(MID($B$3,WEEKDAY(F19+6,2),1)="C",6,99),IF(MID($B$3,WEEKDAY(F19+7,2),1)="C",7,99)))</f>
        <v>3</v>
      </c>
      <c r="N20" s="44"/>
      <c r="O20" s="2"/>
    </row>
    <row r="21" customFormat="false" ht="13.8" hidden="false" customHeight="false" outlineLevel="0" collapsed="false">
      <c r="C21" s="2" t="str">
        <f aca="false">IF(F21="","",IF(ROW()=2,INT((F21-$B$1)/7)+1,IF(INT((F21-$B$1)/7)&lt;&gt;INT((F20-$B$1)/7),INT((F21-$B$1)/7)+1,"")))</f>
        <v/>
      </c>
      <c r="D21" s="2" t="str">
        <f aca="false">IF(C21="","","W"&amp;TEXT(C21,"00"))</f>
        <v/>
      </c>
      <c r="E21" s="2" t="n">
        <f aca="false">E20+1</f>
        <v>20</v>
      </c>
      <c r="F21" s="41" t="n">
        <f aca="false">IF(L21="","",IF(F20+L21&lt;=$B$2,F20+L21,""))</f>
        <v>44265</v>
      </c>
      <c r="G21" s="2" t="str">
        <f aca="false">IF(F21="","",TEXT(F21,"ddd"))</f>
        <v>Wed</v>
      </c>
      <c r="H21" s="2" t="str">
        <f aca="false">IF(F21="","",CHOOSE(WEEKDAY(F21,2),"Mo","Tu","We","Th","Fr","Sa","Su"))</f>
        <v>We</v>
      </c>
      <c r="I21" s="2" t="n">
        <f aca="false">IF(F21="","",MONTH(F21))</f>
        <v>3</v>
      </c>
      <c r="J21" s="2" t="str">
        <f aca="false">IF(F21="","",TEXT(F21,"mmm"))</f>
        <v>Mar</v>
      </c>
      <c r="K21" s="2" t="n">
        <f aca="false">IF(F21="","",DAY(F21))</f>
        <v>10</v>
      </c>
      <c r="L21" s="1" t="n">
        <f aca="false">IF(F20="","",MIN(IF(MID($B$3,WEEKDAY(F20+1,2),1)="C",1,99),IF(MID($B$3,WEEKDAY(F20+2,2),1)="C",2,99),IF(MID($B$3,WEEKDAY(F20+3,2),1)="C",3,99),IF(MID($B$3,WEEKDAY(F20+4,2),1)="C",4,99),IF(MID($B$3,WEEKDAY(F20+5,2),1)="C",5,99),IF(MID($B$3,WEEKDAY(F20+6,2),1)="C",6,99),IF(MID($B$3,WEEKDAY(F20+7,2),1)="C",7,99)))</f>
        <v>2</v>
      </c>
      <c r="N21" s="44"/>
      <c r="O21" s="2"/>
    </row>
    <row r="22" customFormat="false" ht="13.8" hidden="false" customHeight="false" outlineLevel="0" collapsed="false">
      <c r="C22" s="2" t="str">
        <f aca="false">IF(F22="","",IF(ROW()=2,INT((F22-$B$1)/7)+1,IF(INT((F22-$B$1)/7)&lt;&gt;INT((F21-$B$1)/7),INT((F22-$B$1)/7)+1,"")))</f>
        <v/>
      </c>
      <c r="D22" s="2" t="str">
        <f aca="false">IF(C22="","","W"&amp;TEXT(C22,"00"))</f>
        <v/>
      </c>
      <c r="E22" s="2" t="n">
        <f aca="false">E21+1</f>
        <v>21</v>
      </c>
      <c r="F22" s="41" t="n">
        <f aca="false">IF(L22="","",IF(F21+L22&lt;=$B$2,F21+L22,""))</f>
        <v>44267</v>
      </c>
      <c r="G22" s="2" t="str">
        <f aca="false">IF(F22="","",TEXT(F22,"ddd"))</f>
        <v>Fri</v>
      </c>
      <c r="H22" s="2" t="str">
        <f aca="false">IF(F22="","",CHOOSE(WEEKDAY(F22,2),"Mo","Tu","We","Th","Fr","Sa","Su"))</f>
        <v>Fr</v>
      </c>
      <c r="I22" s="2" t="n">
        <f aca="false">IF(F22="","",MONTH(F22))</f>
        <v>3</v>
      </c>
      <c r="J22" s="2" t="str">
        <f aca="false">IF(F22="","",TEXT(F22,"mmm"))</f>
        <v>Mar</v>
      </c>
      <c r="K22" s="2" t="n">
        <f aca="false">IF(F22="","",DAY(F22))</f>
        <v>12</v>
      </c>
      <c r="L22" s="1" t="n">
        <f aca="false">IF(F21="","",MIN(IF(MID($B$3,WEEKDAY(F21+1,2),1)="C",1,99),IF(MID($B$3,WEEKDAY(F21+2,2),1)="C",2,99),IF(MID($B$3,WEEKDAY(F21+3,2),1)="C",3,99),IF(MID($B$3,WEEKDAY(F21+4,2),1)="C",4,99),IF(MID($B$3,WEEKDAY(F21+5,2),1)="C",5,99),IF(MID($B$3,WEEKDAY(F21+6,2),1)="C",6,99),IF(MID($B$3,WEEKDAY(F21+7,2),1)="C",7,99)))</f>
        <v>2</v>
      </c>
    </row>
    <row r="23" customFormat="false" ht="13.8" hidden="false" customHeight="false" outlineLevel="0" collapsed="false">
      <c r="C23" s="2" t="n">
        <f aca="false">IF(F23="","",IF(ROW()=2,INT((F23-$B$1)/7)+1,IF(INT((F23-$B$1)/7)&lt;&gt;INT((F22-$B$1)/7),INT((F23-$B$1)/7)+1,"")))</f>
        <v>8</v>
      </c>
      <c r="D23" s="2" t="str">
        <f aca="false">IF(C23="","","W"&amp;TEXT(C23,"00"))</f>
        <v>W08</v>
      </c>
      <c r="E23" s="2" t="n">
        <f aca="false">E22+1</f>
        <v>22</v>
      </c>
      <c r="F23" s="41" t="n">
        <f aca="false">IF(L23="","",IF(F22+L23&lt;=$B$2,F22+L23,""))</f>
        <v>44270</v>
      </c>
      <c r="G23" s="2" t="str">
        <f aca="false">IF(F23="","",TEXT(F23,"ddd"))</f>
        <v>Mon</v>
      </c>
      <c r="H23" s="2" t="str">
        <f aca="false">IF(F23="","",CHOOSE(WEEKDAY(F23,2),"Mo","Tu","We","Th","Fr","Sa","Su"))</f>
        <v>Mo</v>
      </c>
      <c r="I23" s="2" t="n">
        <f aca="false">IF(F23="","",MONTH(F23))</f>
        <v>3</v>
      </c>
      <c r="J23" s="2" t="str">
        <f aca="false">IF(F23="","",TEXT(F23,"mmm"))</f>
        <v>Mar</v>
      </c>
      <c r="K23" s="2" t="n">
        <f aca="false">IF(F23="","",DAY(F23))</f>
        <v>15</v>
      </c>
      <c r="L23" s="1" t="n">
        <f aca="false">IF(F22="","",MIN(IF(MID($B$3,WEEKDAY(F22+1,2),1)="C",1,99),IF(MID($B$3,WEEKDAY(F22+2,2),1)="C",2,99),IF(MID($B$3,WEEKDAY(F22+3,2),1)="C",3,99),IF(MID($B$3,WEEKDAY(F22+4,2),1)="C",4,99),IF(MID($B$3,WEEKDAY(F22+5,2),1)="C",5,99),IF(MID($B$3,WEEKDAY(F22+6,2),1)="C",6,99),IF(MID($B$3,WEEKDAY(F22+7,2),1)="C",7,99)))</f>
        <v>3</v>
      </c>
    </row>
    <row r="24" customFormat="false" ht="13.8" hidden="false" customHeight="false" outlineLevel="0" collapsed="false">
      <c r="C24" s="2" t="str">
        <f aca="false">IF(F24="","",IF(ROW()=2,INT((F24-$B$1)/7)+1,IF(INT((F24-$B$1)/7)&lt;&gt;INT((F23-$B$1)/7),INT((F24-$B$1)/7)+1,"")))</f>
        <v/>
      </c>
      <c r="D24" s="2" t="str">
        <f aca="false">IF(C24="","","W"&amp;TEXT(C24,"00"))</f>
        <v/>
      </c>
      <c r="E24" s="2" t="n">
        <f aca="false">E23+1</f>
        <v>23</v>
      </c>
      <c r="F24" s="41" t="n">
        <f aca="false">IF(L24="","",IF(F23+L24&lt;=$B$2,F23+L24,""))</f>
        <v>44272</v>
      </c>
      <c r="G24" s="2" t="str">
        <f aca="false">IF(F24="","",TEXT(F24,"ddd"))</f>
        <v>Wed</v>
      </c>
      <c r="H24" s="2" t="str">
        <f aca="false">IF(F24="","",CHOOSE(WEEKDAY(F24,2),"Mo","Tu","We","Th","Fr","Sa","Su"))</f>
        <v>We</v>
      </c>
      <c r="I24" s="2" t="n">
        <f aca="false">IF(F24="","",MONTH(F24))</f>
        <v>3</v>
      </c>
      <c r="J24" s="2" t="str">
        <f aca="false">IF(F24="","",TEXT(F24,"mmm"))</f>
        <v>Mar</v>
      </c>
      <c r="K24" s="2" t="n">
        <f aca="false">IF(F24="","",DAY(F24))</f>
        <v>17</v>
      </c>
      <c r="L24" s="1" t="n">
        <f aca="false">IF(F23="","",MIN(IF(MID($B$3,WEEKDAY(F23+1,2),1)="C",1,99),IF(MID($B$3,WEEKDAY(F23+2,2),1)="C",2,99),IF(MID($B$3,WEEKDAY(F23+3,2),1)="C",3,99),IF(MID($B$3,WEEKDAY(F23+4,2),1)="C",4,99),IF(MID($B$3,WEEKDAY(F23+5,2),1)="C",5,99),IF(MID($B$3,WEEKDAY(F23+6,2),1)="C",6,99),IF(MID($B$3,WEEKDAY(F23+7,2),1)="C",7,99)))</f>
        <v>2</v>
      </c>
    </row>
    <row r="25" customFormat="false" ht="13.8" hidden="false" customHeight="false" outlineLevel="0" collapsed="false">
      <c r="C25" s="2" t="str">
        <f aca="false">IF(F25="","",IF(ROW()=2,INT((F25-$B$1)/7)+1,IF(INT((F25-$B$1)/7)&lt;&gt;INT((F24-$B$1)/7),INT((F25-$B$1)/7)+1,"")))</f>
        <v/>
      </c>
      <c r="D25" s="2" t="str">
        <f aca="false">IF(C25="","","W"&amp;TEXT(C25,"00"))</f>
        <v/>
      </c>
      <c r="E25" s="2" t="n">
        <f aca="false">E24+1</f>
        <v>24</v>
      </c>
      <c r="F25" s="41" t="n">
        <f aca="false">IF(L25="","",IF(F24+L25&lt;=$B$2,F24+L25,""))</f>
        <v>44274</v>
      </c>
      <c r="G25" s="2" t="str">
        <f aca="false">IF(F25="","",TEXT(F25,"ddd"))</f>
        <v>Fri</v>
      </c>
      <c r="H25" s="2" t="str">
        <f aca="false">IF(F25="","",CHOOSE(WEEKDAY(F25,2),"Mo","Tu","We","Th","Fr","Sa","Su"))</f>
        <v>Fr</v>
      </c>
      <c r="I25" s="2" t="n">
        <f aca="false">IF(F25="","",MONTH(F25))</f>
        <v>3</v>
      </c>
      <c r="J25" s="2" t="str">
        <f aca="false">IF(F25="","",TEXT(F25,"mmm"))</f>
        <v>Mar</v>
      </c>
      <c r="K25" s="2" t="n">
        <f aca="false">IF(F25="","",DAY(F25))</f>
        <v>19</v>
      </c>
      <c r="L25" s="1" t="n">
        <f aca="false">IF(F24="","",MIN(IF(MID($B$3,WEEKDAY(F24+1,2),1)="C",1,99),IF(MID($B$3,WEEKDAY(F24+2,2),1)="C",2,99),IF(MID($B$3,WEEKDAY(F24+3,2),1)="C",3,99),IF(MID($B$3,WEEKDAY(F24+4,2),1)="C",4,99),IF(MID($B$3,WEEKDAY(F24+5,2),1)="C",5,99),IF(MID($B$3,WEEKDAY(F24+6,2),1)="C",6,99),IF(MID($B$3,WEEKDAY(F24+7,2),1)="C",7,99)))</f>
        <v>2</v>
      </c>
    </row>
    <row r="26" customFormat="false" ht="13.8" hidden="false" customHeight="false" outlineLevel="0" collapsed="false">
      <c r="C26" s="2" t="n">
        <f aca="false">IF(F26="","",IF(ROW()=2,INT((F26-$B$1)/7)+1,IF(INT((F26-$B$1)/7)&lt;&gt;INT((F25-$B$1)/7),INT((F26-$B$1)/7)+1,"")))</f>
        <v>9</v>
      </c>
      <c r="D26" s="2" t="str">
        <f aca="false">IF(C26="","","W"&amp;TEXT(C26,"00"))</f>
        <v>W09</v>
      </c>
      <c r="E26" s="2" t="n">
        <f aca="false">E25+1</f>
        <v>25</v>
      </c>
      <c r="F26" s="41" t="n">
        <f aca="false">IF(L26="","",IF(F25+L26&lt;=$B$2,F25+L26,""))</f>
        <v>44277</v>
      </c>
      <c r="G26" s="2" t="str">
        <f aca="false">IF(F26="","",TEXT(F26,"ddd"))</f>
        <v>Mon</v>
      </c>
      <c r="H26" s="2" t="str">
        <f aca="false">IF(F26="","",CHOOSE(WEEKDAY(F26,2),"Mo","Tu","We","Th","Fr","Sa","Su"))</f>
        <v>Mo</v>
      </c>
      <c r="I26" s="2" t="n">
        <f aca="false">IF(F26="","",MONTH(F26))</f>
        <v>3</v>
      </c>
      <c r="J26" s="2" t="str">
        <f aca="false">IF(F26="","",TEXT(F26,"mmm"))</f>
        <v>Mar</v>
      </c>
      <c r="K26" s="2" t="n">
        <f aca="false">IF(F26="","",DAY(F26))</f>
        <v>22</v>
      </c>
      <c r="L26" s="1" t="n">
        <f aca="false">IF(F25="","",MIN(IF(MID($B$3,WEEKDAY(F25+1,2),1)="C",1,99),IF(MID($B$3,WEEKDAY(F25+2,2),1)="C",2,99),IF(MID($B$3,WEEKDAY(F25+3,2),1)="C",3,99),IF(MID($B$3,WEEKDAY(F25+4,2),1)="C",4,99),IF(MID($B$3,WEEKDAY(F25+5,2),1)="C",5,99),IF(MID($B$3,WEEKDAY(F25+6,2),1)="C",6,99),IF(MID($B$3,WEEKDAY(F25+7,2),1)="C",7,99)))</f>
        <v>3</v>
      </c>
    </row>
    <row r="27" customFormat="false" ht="13.8" hidden="false" customHeight="false" outlineLevel="0" collapsed="false">
      <c r="C27" s="2" t="str">
        <f aca="false">IF(F27="","",IF(ROW()=2,INT((F27-$B$1)/7)+1,IF(INT((F27-$B$1)/7)&lt;&gt;INT((F26-$B$1)/7),INT((F27-$B$1)/7)+1,"")))</f>
        <v/>
      </c>
      <c r="D27" s="2" t="str">
        <f aca="false">IF(C27="","","W"&amp;TEXT(C27,"00"))</f>
        <v/>
      </c>
      <c r="E27" s="2" t="n">
        <f aca="false">E26+1</f>
        <v>26</v>
      </c>
      <c r="F27" s="41" t="n">
        <f aca="false">IF(L27="","",IF(F26+L27&lt;=$B$2,F26+L27,""))</f>
        <v>44279</v>
      </c>
      <c r="G27" s="2" t="str">
        <f aca="false">IF(F27="","",TEXT(F27,"ddd"))</f>
        <v>Wed</v>
      </c>
      <c r="H27" s="2" t="str">
        <f aca="false">IF(F27="","",CHOOSE(WEEKDAY(F27,2),"Mo","Tu","We","Th","Fr","Sa","Su"))</f>
        <v>We</v>
      </c>
      <c r="I27" s="2" t="n">
        <f aca="false">IF(F27="","",MONTH(F27))</f>
        <v>3</v>
      </c>
      <c r="J27" s="2" t="str">
        <f aca="false">IF(F27="","",TEXT(F27,"mmm"))</f>
        <v>Mar</v>
      </c>
      <c r="K27" s="2" t="n">
        <f aca="false">IF(F27="","",DAY(F27))</f>
        <v>24</v>
      </c>
      <c r="L27" s="1" t="n">
        <f aca="false">IF(F26="","",MIN(IF(MID($B$3,WEEKDAY(F26+1,2),1)="C",1,99),IF(MID($B$3,WEEKDAY(F26+2,2),1)="C",2,99),IF(MID($B$3,WEEKDAY(F26+3,2),1)="C",3,99),IF(MID($B$3,WEEKDAY(F26+4,2),1)="C",4,99),IF(MID($B$3,WEEKDAY(F26+5,2),1)="C",5,99),IF(MID($B$3,WEEKDAY(F26+6,2),1)="C",6,99),IF(MID($B$3,WEEKDAY(F26+7,2),1)="C",7,99)))</f>
        <v>2</v>
      </c>
    </row>
    <row r="28" customFormat="false" ht="13.8" hidden="false" customHeight="false" outlineLevel="0" collapsed="false">
      <c r="C28" s="2" t="str">
        <f aca="false">IF(F28="","",IF(ROW()=2,INT((F28-$B$1)/7)+1,IF(INT((F28-$B$1)/7)&lt;&gt;INT((F27-$B$1)/7),INT((F28-$B$1)/7)+1,"")))</f>
        <v/>
      </c>
      <c r="D28" s="2" t="str">
        <f aca="false">IF(C28="","","W"&amp;TEXT(C28,"00"))</f>
        <v/>
      </c>
      <c r="E28" s="2" t="n">
        <f aca="false">E27+1</f>
        <v>27</v>
      </c>
      <c r="F28" s="41" t="n">
        <f aca="false">IF(L28="","",IF(F27+L28&lt;=$B$2,F27+L28,""))</f>
        <v>44281</v>
      </c>
      <c r="G28" s="2" t="str">
        <f aca="false">IF(F28="","",TEXT(F28,"ddd"))</f>
        <v>Fri</v>
      </c>
      <c r="H28" s="2" t="str">
        <f aca="false">IF(F28="","",CHOOSE(WEEKDAY(F28,2),"Mo","Tu","We","Th","Fr","Sa","Su"))</f>
        <v>Fr</v>
      </c>
      <c r="I28" s="2" t="n">
        <f aca="false">IF(F28="","",MONTH(F28))</f>
        <v>3</v>
      </c>
      <c r="J28" s="2" t="str">
        <f aca="false">IF(F28="","",TEXT(F28,"mmm"))</f>
        <v>Mar</v>
      </c>
      <c r="K28" s="2" t="n">
        <f aca="false">IF(F28="","",DAY(F28))</f>
        <v>26</v>
      </c>
      <c r="L28" s="1" t="n">
        <f aca="false">IF(F27="","",MIN(IF(MID($B$3,WEEKDAY(F27+1,2),1)="C",1,99),IF(MID($B$3,WEEKDAY(F27+2,2),1)="C",2,99),IF(MID($B$3,WEEKDAY(F27+3,2),1)="C",3,99),IF(MID($B$3,WEEKDAY(F27+4,2),1)="C",4,99),IF(MID($B$3,WEEKDAY(F27+5,2),1)="C",5,99),IF(MID($B$3,WEEKDAY(F27+6,2),1)="C",6,99),IF(MID($B$3,WEEKDAY(F27+7,2),1)="C",7,99)))</f>
        <v>2</v>
      </c>
    </row>
    <row r="29" customFormat="false" ht="13.8" hidden="false" customHeight="false" outlineLevel="0" collapsed="false">
      <c r="C29" s="2" t="n">
        <f aca="false">IF(F29="","",IF(ROW()=2,INT((F29-$B$1)/7)+1,IF(INT((F29-$B$1)/7)&lt;&gt;INT((F28-$B$1)/7),INT((F29-$B$1)/7)+1,"")))</f>
        <v>10</v>
      </c>
      <c r="D29" s="2" t="str">
        <f aca="false">IF(C29="","","W"&amp;TEXT(C29,"00"))</f>
        <v>W10</v>
      </c>
      <c r="E29" s="2" t="n">
        <f aca="false">E28+1</f>
        <v>28</v>
      </c>
      <c r="F29" s="41" t="n">
        <f aca="false">IF(L29="","",IF(F28+L29&lt;=$B$2,F28+L29,""))</f>
        <v>44284</v>
      </c>
      <c r="G29" s="2" t="str">
        <f aca="false">IF(F29="","",TEXT(F29,"ddd"))</f>
        <v>Mon</v>
      </c>
      <c r="H29" s="2" t="str">
        <f aca="false">IF(F29="","",CHOOSE(WEEKDAY(F29,2),"Mo","Tu","We","Th","Fr","Sa","Su"))</f>
        <v>Mo</v>
      </c>
      <c r="I29" s="2" t="n">
        <f aca="false">IF(F29="","",MONTH(F29))</f>
        <v>3</v>
      </c>
      <c r="J29" s="2" t="str">
        <f aca="false">IF(F29="","",TEXT(F29,"mmm"))</f>
        <v>Mar</v>
      </c>
      <c r="K29" s="2" t="n">
        <f aca="false">IF(F29="","",DAY(F29))</f>
        <v>29</v>
      </c>
      <c r="L29" s="1" t="n">
        <f aca="false">IF(F28="","",MIN(IF(MID($B$3,WEEKDAY(F28+1,2),1)="C",1,99),IF(MID($B$3,WEEKDAY(F28+2,2),1)="C",2,99),IF(MID($B$3,WEEKDAY(F28+3,2),1)="C",3,99),IF(MID($B$3,WEEKDAY(F28+4,2),1)="C",4,99),IF(MID($B$3,WEEKDAY(F28+5,2),1)="C",5,99),IF(MID($B$3,WEEKDAY(F28+6,2),1)="C",6,99),IF(MID($B$3,WEEKDAY(F28+7,2),1)="C",7,99)))</f>
        <v>3</v>
      </c>
    </row>
    <row r="30" customFormat="false" ht="13.8" hidden="false" customHeight="false" outlineLevel="0" collapsed="false">
      <c r="C30" s="2" t="str">
        <f aca="false">IF(F30="","",IF(ROW()=2,INT((F30-$B$1)/7)+1,IF(INT((F30-$B$1)/7)&lt;&gt;INT((F29-$B$1)/7),INT((F30-$B$1)/7)+1,"")))</f>
        <v/>
      </c>
      <c r="D30" s="2" t="str">
        <f aca="false">IF(C30="","","W"&amp;TEXT(C30,"00"))</f>
        <v/>
      </c>
      <c r="E30" s="2" t="n">
        <f aca="false">E29+1</f>
        <v>29</v>
      </c>
      <c r="F30" s="41" t="n">
        <f aca="false">IF(L30="","",IF(F29+L30&lt;=$B$2,F29+L30,""))</f>
        <v>44286</v>
      </c>
      <c r="G30" s="2" t="str">
        <f aca="false">IF(F30="","",TEXT(F30,"ddd"))</f>
        <v>Wed</v>
      </c>
      <c r="H30" s="2" t="str">
        <f aca="false">IF(F30="","",CHOOSE(WEEKDAY(F30,2),"Mo","Tu","We","Th","Fr","Sa","Su"))</f>
        <v>We</v>
      </c>
      <c r="I30" s="2" t="n">
        <f aca="false">IF(F30="","",MONTH(F30))</f>
        <v>3</v>
      </c>
      <c r="J30" s="2" t="str">
        <f aca="false">IF(F30="","",TEXT(F30,"mmm"))</f>
        <v>Mar</v>
      </c>
      <c r="K30" s="2" t="n">
        <f aca="false">IF(F30="","",DAY(F30))</f>
        <v>31</v>
      </c>
      <c r="L30" s="1" t="n">
        <f aca="false">IF(F29="","",MIN(IF(MID($B$3,WEEKDAY(F29+1,2),1)="C",1,99),IF(MID($B$3,WEEKDAY(F29+2,2),1)="C",2,99),IF(MID($B$3,WEEKDAY(F29+3,2),1)="C",3,99),IF(MID($B$3,WEEKDAY(F29+4,2),1)="C",4,99),IF(MID($B$3,WEEKDAY(F29+5,2),1)="C",5,99),IF(MID($B$3,WEEKDAY(F29+6,2),1)="C",6,99),IF(MID($B$3,WEEKDAY(F29+7,2),1)="C",7,99)))</f>
        <v>2</v>
      </c>
    </row>
    <row r="31" customFormat="false" ht="13.8" hidden="false" customHeight="false" outlineLevel="0" collapsed="false">
      <c r="C31" s="2" t="str">
        <f aca="false">IF(F31="","",IF(ROW()=2,INT((F31-$B$1)/7)+1,IF(INT((F31-$B$1)/7)&lt;&gt;INT((F30-$B$1)/7),INT((F31-$B$1)/7)+1,"")))</f>
        <v/>
      </c>
      <c r="D31" s="2" t="str">
        <f aca="false">IF(C31="","","W"&amp;TEXT(C31,"00"))</f>
        <v/>
      </c>
      <c r="E31" s="2" t="n">
        <f aca="false">E30+1</f>
        <v>30</v>
      </c>
      <c r="F31" s="41" t="n">
        <f aca="false">IF(L31="","",IF(F30+L31&lt;=$B$2,F30+L31,""))</f>
        <v>44288</v>
      </c>
      <c r="G31" s="2" t="str">
        <f aca="false">IF(F31="","",TEXT(F31,"ddd"))</f>
        <v>Fri</v>
      </c>
      <c r="H31" s="2" t="str">
        <f aca="false">IF(F31="","",CHOOSE(WEEKDAY(F31,2),"Mo","Tu","We","Th","Fr","Sa","Su"))</f>
        <v>Fr</v>
      </c>
      <c r="I31" s="2" t="n">
        <f aca="false">IF(F31="","",MONTH(F31))</f>
        <v>4</v>
      </c>
      <c r="J31" s="2" t="str">
        <f aca="false">IF(F31="","",TEXT(F31,"mmm"))</f>
        <v>Apr</v>
      </c>
      <c r="K31" s="2" t="n">
        <f aca="false">IF(F31="","",DAY(F31))</f>
        <v>2</v>
      </c>
      <c r="L31" s="1" t="n">
        <f aca="false">IF(F30="","",MIN(IF(MID($B$3,WEEKDAY(F30+1,2),1)="C",1,99),IF(MID($B$3,WEEKDAY(F30+2,2),1)="C",2,99),IF(MID($B$3,WEEKDAY(F30+3,2),1)="C",3,99),IF(MID($B$3,WEEKDAY(F30+4,2),1)="C",4,99),IF(MID($B$3,WEEKDAY(F30+5,2),1)="C",5,99),IF(MID($B$3,WEEKDAY(F30+6,2),1)="C",6,99),IF(MID($B$3,WEEKDAY(F30+7,2),1)="C",7,99)))</f>
        <v>2</v>
      </c>
    </row>
    <row r="32" customFormat="false" ht="13.8" hidden="false" customHeight="false" outlineLevel="0" collapsed="false">
      <c r="C32" s="2" t="n">
        <f aca="false">IF(F32="","",IF(ROW()=2,INT((F32-$B$1)/7)+1,IF(INT((F32-$B$1)/7)&lt;&gt;INT((F31-$B$1)/7),INT((F32-$B$1)/7)+1,"")))</f>
        <v>11</v>
      </c>
      <c r="D32" s="2" t="str">
        <f aca="false">IF(C32="","","W"&amp;TEXT(C32,"00"))</f>
        <v>W11</v>
      </c>
      <c r="E32" s="2" t="n">
        <f aca="false">E31+1</f>
        <v>31</v>
      </c>
      <c r="F32" s="41" t="n">
        <f aca="false">IF(L32="","",IF(F31+L32&lt;=$B$2,F31+L32,""))</f>
        <v>44291</v>
      </c>
      <c r="G32" s="2" t="str">
        <f aca="false">IF(F32="","",TEXT(F32,"ddd"))</f>
        <v>Mon</v>
      </c>
      <c r="H32" s="2" t="str">
        <f aca="false">IF(F32="","",CHOOSE(WEEKDAY(F32,2),"Mo","Tu","We","Th","Fr","Sa","Su"))</f>
        <v>Mo</v>
      </c>
      <c r="I32" s="2" t="n">
        <f aca="false">IF(F32="","",MONTH(F32))</f>
        <v>4</v>
      </c>
      <c r="J32" s="2" t="str">
        <f aca="false">IF(F32="","",TEXT(F32,"mmm"))</f>
        <v>Apr</v>
      </c>
      <c r="K32" s="2" t="n">
        <f aca="false">IF(F32="","",DAY(F32))</f>
        <v>5</v>
      </c>
      <c r="L32" s="1" t="n">
        <f aca="false">IF(F31="","",MIN(IF(MID($B$3,WEEKDAY(F31+1,2),1)="C",1,99),IF(MID($B$3,WEEKDAY(F31+2,2),1)="C",2,99),IF(MID($B$3,WEEKDAY(F31+3,2),1)="C",3,99),IF(MID($B$3,WEEKDAY(F31+4,2),1)="C",4,99),IF(MID($B$3,WEEKDAY(F31+5,2),1)="C",5,99),IF(MID($B$3,WEEKDAY(F31+6,2),1)="C",6,99),IF(MID($B$3,WEEKDAY(F31+7,2),1)="C",7,99)))</f>
        <v>3</v>
      </c>
    </row>
    <row r="33" customFormat="false" ht="13.8" hidden="false" customHeight="false" outlineLevel="0" collapsed="false">
      <c r="C33" s="2" t="str">
        <f aca="false">IF(F33="","",IF(ROW()=2,INT((F33-$B$1)/7)+1,IF(INT((F33-$B$1)/7)&lt;&gt;INT((F32-$B$1)/7),INT((F33-$B$1)/7)+1,"")))</f>
        <v/>
      </c>
      <c r="D33" s="2" t="str">
        <f aca="false">IF(C33="","","W"&amp;TEXT(C33,"00"))</f>
        <v/>
      </c>
      <c r="E33" s="2" t="n">
        <f aca="false">E32+1</f>
        <v>32</v>
      </c>
      <c r="F33" s="41" t="n">
        <f aca="false">IF(L33="","",IF(F32+L33&lt;=$B$2,F32+L33,""))</f>
        <v>44293</v>
      </c>
      <c r="G33" s="2" t="str">
        <f aca="false">IF(F33="","",TEXT(F33,"ddd"))</f>
        <v>Wed</v>
      </c>
      <c r="H33" s="2" t="str">
        <f aca="false">IF(F33="","",CHOOSE(WEEKDAY(F33,2),"Mo","Tu","We","Th","Fr","Sa","Su"))</f>
        <v>We</v>
      </c>
      <c r="I33" s="2" t="n">
        <f aca="false">IF(F33="","",MONTH(F33))</f>
        <v>4</v>
      </c>
      <c r="J33" s="2" t="str">
        <f aca="false">IF(F33="","",TEXT(F33,"mmm"))</f>
        <v>Apr</v>
      </c>
      <c r="K33" s="2" t="n">
        <f aca="false">IF(F33="","",DAY(F33))</f>
        <v>7</v>
      </c>
      <c r="L33" s="1" t="n">
        <f aca="false">IF(F32="","",MIN(IF(MID($B$3,WEEKDAY(F32+1,2),1)="C",1,99),IF(MID($B$3,WEEKDAY(F32+2,2),1)="C",2,99),IF(MID($B$3,WEEKDAY(F32+3,2),1)="C",3,99),IF(MID($B$3,WEEKDAY(F32+4,2),1)="C",4,99),IF(MID($B$3,WEEKDAY(F32+5,2),1)="C",5,99),IF(MID($B$3,WEEKDAY(F32+6,2),1)="C",6,99),IF(MID($B$3,WEEKDAY(F32+7,2),1)="C",7,99)))</f>
        <v>2</v>
      </c>
    </row>
    <row r="34" customFormat="false" ht="13.8" hidden="false" customHeight="false" outlineLevel="0" collapsed="false">
      <c r="C34" s="2" t="str">
        <f aca="false">IF(F34="","",IF(ROW()=2,INT((F34-$B$1)/7)+1,IF(INT((F34-$B$1)/7)&lt;&gt;INT((F33-$B$1)/7),INT((F34-$B$1)/7)+1,"")))</f>
        <v/>
      </c>
      <c r="D34" s="2" t="str">
        <f aca="false">IF(C34="","","W"&amp;TEXT(C34,"00"))</f>
        <v/>
      </c>
      <c r="E34" s="2" t="n">
        <f aca="false">E33+1</f>
        <v>33</v>
      </c>
      <c r="F34" s="41" t="n">
        <f aca="false">IF(L34="","",IF(F33+L34&lt;=$B$2,F33+L34,""))</f>
        <v>44295</v>
      </c>
      <c r="G34" s="2" t="str">
        <f aca="false">IF(F34="","",TEXT(F34,"ddd"))</f>
        <v>Fri</v>
      </c>
      <c r="H34" s="2" t="str">
        <f aca="false">IF(F34="","",CHOOSE(WEEKDAY(F34,2),"Mo","Tu","We","Th","Fr","Sa","Su"))</f>
        <v>Fr</v>
      </c>
      <c r="I34" s="2" t="n">
        <f aca="false">IF(F34="","",MONTH(F34))</f>
        <v>4</v>
      </c>
      <c r="J34" s="2" t="str">
        <f aca="false">IF(F34="","",TEXT(F34,"mmm"))</f>
        <v>Apr</v>
      </c>
      <c r="K34" s="2" t="n">
        <f aca="false">IF(F34="","",DAY(F34))</f>
        <v>9</v>
      </c>
      <c r="L34" s="1" t="n">
        <f aca="false">IF(F33="","",MIN(IF(MID($B$3,WEEKDAY(F33+1,2),1)="C",1,99),IF(MID($B$3,WEEKDAY(F33+2,2),1)="C",2,99),IF(MID($B$3,WEEKDAY(F33+3,2),1)="C",3,99),IF(MID($B$3,WEEKDAY(F33+4,2),1)="C",4,99),IF(MID($B$3,WEEKDAY(F33+5,2),1)="C",5,99),IF(MID($B$3,WEEKDAY(F33+6,2),1)="C",6,99),IF(MID($B$3,WEEKDAY(F33+7,2),1)="C",7,99)))</f>
        <v>2</v>
      </c>
    </row>
    <row r="35" customFormat="false" ht="13.8" hidden="false" customHeight="false" outlineLevel="0" collapsed="false">
      <c r="C35" s="2" t="n">
        <f aca="false">IF(F35="","",IF(ROW()=2,INT((F35-$B$1)/7)+1,IF(INT((F35-$B$1)/7)&lt;&gt;INT((F34-$B$1)/7),INT((F35-$B$1)/7)+1,"")))</f>
        <v>12</v>
      </c>
      <c r="D35" s="2" t="str">
        <f aca="false">IF(C35="","","W"&amp;TEXT(C35,"00"))</f>
        <v>W12</v>
      </c>
      <c r="E35" s="2" t="n">
        <f aca="false">E34+1</f>
        <v>34</v>
      </c>
      <c r="F35" s="41" t="n">
        <f aca="false">IF(L35="","",IF(F34+L35&lt;=$B$2,F34+L35,""))</f>
        <v>44298</v>
      </c>
      <c r="G35" s="2" t="str">
        <f aca="false">IF(F35="","",TEXT(F35,"ddd"))</f>
        <v>Mon</v>
      </c>
      <c r="H35" s="2" t="str">
        <f aca="false">IF(F35="","",CHOOSE(WEEKDAY(F35,2),"Mo","Tu","We","Th","Fr","Sa","Su"))</f>
        <v>Mo</v>
      </c>
      <c r="I35" s="2" t="n">
        <f aca="false">IF(F35="","",MONTH(F35))</f>
        <v>4</v>
      </c>
      <c r="J35" s="2" t="str">
        <f aca="false">IF(F35="","",TEXT(F35,"mmm"))</f>
        <v>Apr</v>
      </c>
      <c r="K35" s="2" t="n">
        <f aca="false">IF(F35="","",DAY(F35))</f>
        <v>12</v>
      </c>
      <c r="L35" s="1" t="n">
        <f aca="false">IF(F34="","",MIN(IF(MID($B$3,WEEKDAY(F34+1,2),1)="C",1,99),IF(MID($B$3,WEEKDAY(F34+2,2),1)="C",2,99),IF(MID($B$3,WEEKDAY(F34+3,2),1)="C",3,99),IF(MID($B$3,WEEKDAY(F34+4,2),1)="C",4,99),IF(MID($B$3,WEEKDAY(F34+5,2),1)="C",5,99),IF(MID($B$3,WEEKDAY(F34+6,2),1)="C",6,99),IF(MID($B$3,WEEKDAY(F34+7,2),1)="C",7,99)))</f>
        <v>3</v>
      </c>
    </row>
    <row r="36" customFormat="false" ht="13.8" hidden="false" customHeight="false" outlineLevel="0" collapsed="false">
      <c r="C36" s="2" t="str">
        <f aca="false">IF(F36="","",IF(ROW()=2,INT((F36-$B$1)/7)+1,IF(INT((F36-$B$1)/7)&lt;&gt;INT((F35-$B$1)/7),INT((F36-$B$1)/7)+1,"")))</f>
        <v/>
      </c>
      <c r="D36" s="2" t="str">
        <f aca="false">IF(C36="","","W"&amp;TEXT(C36,"00"))</f>
        <v/>
      </c>
      <c r="E36" s="2" t="n">
        <f aca="false">E35+1</f>
        <v>35</v>
      </c>
      <c r="F36" s="41" t="n">
        <f aca="false">IF(L36="","",IF(F35+L36&lt;=$B$2,F35+L36,""))</f>
        <v>44300</v>
      </c>
      <c r="G36" s="2" t="str">
        <f aca="false">IF(F36="","",TEXT(F36,"ddd"))</f>
        <v>Wed</v>
      </c>
      <c r="H36" s="2" t="str">
        <f aca="false">IF(F36="","",CHOOSE(WEEKDAY(F36,2),"Mo","Tu","We","Th","Fr","Sa","Su"))</f>
        <v>We</v>
      </c>
      <c r="I36" s="2" t="n">
        <f aca="false">IF(F36="","",MONTH(F36))</f>
        <v>4</v>
      </c>
      <c r="J36" s="2" t="str">
        <f aca="false">IF(F36="","",TEXT(F36,"mmm"))</f>
        <v>Apr</v>
      </c>
      <c r="K36" s="2" t="n">
        <f aca="false">IF(F36="","",DAY(F36))</f>
        <v>14</v>
      </c>
      <c r="L36" s="1" t="n">
        <f aca="false">IF(F35="","",MIN(IF(MID($B$3,WEEKDAY(F35+1,2),1)="C",1,99),IF(MID($B$3,WEEKDAY(F35+2,2),1)="C",2,99),IF(MID($B$3,WEEKDAY(F35+3,2),1)="C",3,99),IF(MID($B$3,WEEKDAY(F35+4,2),1)="C",4,99),IF(MID($B$3,WEEKDAY(F35+5,2),1)="C",5,99),IF(MID($B$3,WEEKDAY(F35+6,2),1)="C",6,99),IF(MID($B$3,WEEKDAY(F35+7,2),1)="C",7,99)))</f>
        <v>2</v>
      </c>
    </row>
    <row r="37" customFormat="false" ht="13.8" hidden="false" customHeight="false" outlineLevel="0" collapsed="false">
      <c r="C37" s="2" t="str">
        <f aca="false">IF(F37="","",IF(ROW()=2,INT((F37-$B$1)/7)+1,IF(INT((F37-$B$1)/7)&lt;&gt;INT((F36-$B$1)/7),INT((F37-$B$1)/7)+1,"")))</f>
        <v/>
      </c>
      <c r="D37" s="2" t="str">
        <f aca="false">IF(C37="","","W"&amp;TEXT(C37,"00"))</f>
        <v/>
      </c>
      <c r="E37" s="2" t="n">
        <f aca="false">E36+1</f>
        <v>36</v>
      </c>
      <c r="F37" s="41" t="n">
        <f aca="false">IF(L37="","",IF(F36+L37&lt;=$B$2,F36+L37,""))</f>
        <v>44302</v>
      </c>
      <c r="G37" s="2" t="str">
        <f aca="false">IF(F37="","",TEXT(F37,"ddd"))</f>
        <v>Fri</v>
      </c>
      <c r="H37" s="2" t="str">
        <f aca="false">IF(F37="","",CHOOSE(WEEKDAY(F37,2),"Mo","Tu","We","Th","Fr","Sa","Su"))</f>
        <v>Fr</v>
      </c>
      <c r="I37" s="2" t="n">
        <f aca="false">IF(F37="","",MONTH(F37))</f>
        <v>4</v>
      </c>
      <c r="J37" s="2" t="str">
        <f aca="false">IF(F37="","",TEXT(F37,"mmm"))</f>
        <v>Apr</v>
      </c>
      <c r="K37" s="2" t="n">
        <f aca="false">IF(F37="","",DAY(F37))</f>
        <v>16</v>
      </c>
      <c r="L37" s="1" t="n">
        <f aca="false">IF(F36="","",MIN(IF(MID($B$3,WEEKDAY(F36+1,2),1)="C",1,99),IF(MID($B$3,WEEKDAY(F36+2,2),1)="C",2,99),IF(MID($B$3,WEEKDAY(F36+3,2),1)="C",3,99),IF(MID($B$3,WEEKDAY(F36+4,2),1)="C",4,99),IF(MID($B$3,WEEKDAY(F36+5,2),1)="C",5,99),IF(MID($B$3,WEEKDAY(F36+6,2),1)="C",6,99),IF(MID($B$3,WEEKDAY(F36+7,2),1)="C",7,99)))</f>
        <v>2</v>
      </c>
    </row>
    <row r="38" customFormat="false" ht="13.8" hidden="false" customHeight="false" outlineLevel="0" collapsed="false">
      <c r="C38" s="2" t="n">
        <f aca="false">IF(F38="","",IF(ROW()=2,INT((F38-$B$1)/7)+1,IF(INT((F38-$B$1)/7)&lt;&gt;INT((F37-$B$1)/7),INT((F38-$B$1)/7)+1,"")))</f>
        <v>13</v>
      </c>
      <c r="D38" s="2" t="str">
        <f aca="false">IF(C38="","","W"&amp;TEXT(C38,"00"))</f>
        <v>W13</v>
      </c>
      <c r="E38" s="2" t="n">
        <f aca="false">E37+1</f>
        <v>37</v>
      </c>
      <c r="F38" s="41" t="n">
        <f aca="false">IF(L38="","",IF(F37+L38&lt;=$B$2,F37+L38,""))</f>
        <v>44305</v>
      </c>
      <c r="G38" s="2" t="str">
        <f aca="false">IF(F38="","",TEXT(F38,"ddd"))</f>
        <v>Mon</v>
      </c>
      <c r="H38" s="2" t="str">
        <f aca="false">IF(F38="","",CHOOSE(WEEKDAY(F38,2),"Mo","Tu","We","Th","Fr","Sa","Su"))</f>
        <v>Mo</v>
      </c>
      <c r="I38" s="2" t="n">
        <f aca="false">IF(F38="","",MONTH(F38))</f>
        <v>4</v>
      </c>
      <c r="J38" s="2" t="str">
        <f aca="false">IF(F38="","",TEXT(F38,"mmm"))</f>
        <v>Apr</v>
      </c>
      <c r="K38" s="2" t="n">
        <f aca="false">IF(F38="","",DAY(F38))</f>
        <v>19</v>
      </c>
      <c r="L38" s="1" t="n">
        <f aca="false">IF(F37="","",MIN(IF(MID($B$3,WEEKDAY(F37+1,2),1)="C",1,99),IF(MID($B$3,WEEKDAY(F37+2,2),1)="C",2,99),IF(MID($B$3,WEEKDAY(F37+3,2),1)="C",3,99),IF(MID($B$3,WEEKDAY(F37+4,2),1)="C",4,99),IF(MID($B$3,WEEKDAY(F37+5,2),1)="C",5,99),IF(MID($B$3,WEEKDAY(F37+6,2),1)="C",6,99),IF(MID($B$3,WEEKDAY(F37+7,2),1)="C",7,99)))</f>
        <v>3</v>
      </c>
    </row>
    <row r="39" customFormat="false" ht="13.8" hidden="false" customHeight="false" outlineLevel="0" collapsed="false">
      <c r="C39" s="2" t="str">
        <f aca="false">IF(F39="","",IF(ROW()=2,INT((F39-$B$1)/7)+1,IF(INT((F39-$B$1)/7)&lt;&gt;INT((F38-$B$1)/7),INT((F39-$B$1)/7)+1,"")))</f>
        <v/>
      </c>
      <c r="D39" s="2" t="str">
        <f aca="false">IF(C39="","","W"&amp;TEXT(C39,"00"))</f>
        <v/>
      </c>
      <c r="E39" s="2" t="n">
        <f aca="false">E38+1</f>
        <v>38</v>
      </c>
      <c r="F39" s="41" t="n">
        <f aca="false">IF(L39="","",IF(F38+L39&lt;=$B$2,F38+L39,""))</f>
        <v>44307</v>
      </c>
      <c r="G39" s="2" t="str">
        <f aca="false">IF(F39="","",TEXT(F39,"ddd"))</f>
        <v>Wed</v>
      </c>
      <c r="H39" s="2" t="str">
        <f aca="false">IF(F39="","",CHOOSE(WEEKDAY(F39,2),"Mo","Tu","We","Th","Fr","Sa","Su"))</f>
        <v>We</v>
      </c>
      <c r="I39" s="2" t="n">
        <f aca="false">IF(F39="","",MONTH(F39))</f>
        <v>4</v>
      </c>
      <c r="J39" s="2" t="str">
        <f aca="false">IF(F39="","",TEXT(F39,"mmm"))</f>
        <v>Apr</v>
      </c>
      <c r="K39" s="2" t="n">
        <f aca="false">IF(F39="","",DAY(F39))</f>
        <v>21</v>
      </c>
      <c r="L39" s="1" t="n">
        <f aca="false">IF(F38="","",MIN(IF(MID($B$3,WEEKDAY(F38+1,2),1)="C",1,99),IF(MID($B$3,WEEKDAY(F38+2,2),1)="C",2,99),IF(MID($B$3,WEEKDAY(F38+3,2),1)="C",3,99),IF(MID($B$3,WEEKDAY(F38+4,2),1)="C",4,99),IF(MID($B$3,WEEKDAY(F38+5,2),1)="C",5,99),IF(MID($B$3,WEEKDAY(F38+6,2),1)="C",6,99),IF(MID($B$3,WEEKDAY(F38+7,2),1)="C",7,99)))</f>
        <v>2</v>
      </c>
    </row>
    <row r="40" customFormat="false" ht="13.8" hidden="false" customHeight="false" outlineLevel="0" collapsed="false">
      <c r="C40" s="2" t="str">
        <f aca="false">IF(F40="","",IF(ROW()=2,INT((F40-$B$1)/7)+1,IF(INT((F40-$B$1)/7)&lt;&gt;INT((F39-$B$1)/7),INT((F40-$B$1)/7)+1,"")))</f>
        <v/>
      </c>
      <c r="D40" s="2" t="str">
        <f aca="false">IF(C40="","","W"&amp;TEXT(C40,"00"))</f>
        <v/>
      </c>
      <c r="E40" s="2" t="n">
        <f aca="false">E39+1</f>
        <v>39</v>
      </c>
      <c r="F40" s="41" t="n">
        <f aca="false">IF(L40="","",IF(F39+L40&lt;=$B$2,F39+L40,""))</f>
        <v>44309</v>
      </c>
      <c r="G40" s="2" t="str">
        <f aca="false">IF(F40="","",TEXT(F40,"ddd"))</f>
        <v>Fri</v>
      </c>
      <c r="H40" s="2" t="str">
        <f aca="false">IF(F40="","",CHOOSE(WEEKDAY(F40,2),"Mo","Tu","We","Th","Fr","Sa","Su"))</f>
        <v>Fr</v>
      </c>
      <c r="I40" s="2" t="n">
        <f aca="false">IF(F40="","",MONTH(F40))</f>
        <v>4</v>
      </c>
      <c r="J40" s="2" t="str">
        <f aca="false">IF(F40="","",TEXT(F40,"mmm"))</f>
        <v>Apr</v>
      </c>
      <c r="K40" s="2" t="n">
        <f aca="false">IF(F40="","",DAY(F40))</f>
        <v>23</v>
      </c>
      <c r="L40" s="1" t="n">
        <f aca="false">IF(F39="","",MIN(IF(MID($B$3,WEEKDAY(F39+1,2),1)="C",1,99),IF(MID($B$3,WEEKDAY(F39+2,2),1)="C",2,99),IF(MID($B$3,WEEKDAY(F39+3,2),1)="C",3,99),IF(MID($B$3,WEEKDAY(F39+4,2),1)="C",4,99),IF(MID($B$3,WEEKDAY(F39+5,2),1)="C",5,99),IF(MID($B$3,WEEKDAY(F39+6,2),1)="C",6,99),IF(MID($B$3,WEEKDAY(F39+7,2),1)="C",7,99)))</f>
        <v>2</v>
      </c>
    </row>
    <row r="41" customFormat="false" ht="13.8" hidden="false" customHeight="false" outlineLevel="0" collapsed="false">
      <c r="C41" s="2" t="n">
        <f aca="false">IF(F41="","",IF(ROW()=2,INT((F41-$B$1)/7)+1,IF(INT((F41-$B$1)/7)&lt;&gt;INT((F40-$B$1)/7),INT((F41-$B$1)/7)+1,"")))</f>
        <v>14</v>
      </c>
      <c r="D41" s="2" t="str">
        <f aca="false">IF(C41="","","W"&amp;TEXT(C41,"00"))</f>
        <v>W14</v>
      </c>
      <c r="E41" s="2" t="n">
        <f aca="false">E40+1</f>
        <v>40</v>
      </c>
      <c r="F41" s="41" t="n">
        <f aca="false">IF(L41="","",IF(F40+L41&lt;=$B$2,F40+L41,""))</f>
        <v>44312</v>
      </c>
      <c r="G41" s="2" t="str">
        <f aca="false">IF(F41="","",TEXT(F41,"ddd"))</f>
        <v>Mon</v>
      </c>
      <c r="H41" s="2" t="str">
        <f aca="false">IF(F41="","",CHOOSE(WEEKDAY(F41,2),"Mo","Tu","We","Th","Fr","Sa","Su"))</f>
        <v>Mo</v>
      </c>
      <c r="I41" s="2" t="n">
        <f aca="false">IF(F41="","",MONTH(F41))</f>
        <v>4</v>
      </c>
      <c r="J41" s="2" t="str">
        <f aca="false">IF(F41="","",TEXT(F41,"mmm"))</f>
        <v>Apr</v>
      </c>
      <c r="K41" s="2" t="n">
        <f aca="false">IF(F41="","",DAY(F41))</f>
        <v>26</v>
      </c>
      <c r="L41" s="1" t="n">
        <f aca="false">IF(F40="","",MIN(IF(MID($B$3,WEEKDAY(F40+1,2),1)="C",1,99),IF(MID($B$3,WEEKDAY(F40+2,2),1)="C",2,99),IF(MID($B$3,WEEKDAY(F40+3,2),1)="C",3,99),IF(MID($B$3,WEEKDAY(F40+4,2),1)="C",4,99),IF(MID($B$3,WEEKDAY(F40+5,2),1)="C",5,99),IF(MID($B$3,WEEKDAY(F40+6,2),1)="C",6,99),IF(MID($B$3,WEEKDAY(F40+7,2),1)="C",7,99)))</f>
        <v>3</v>
      </c>
    </row>
    <row r="42" customFormat="false" ht="13.8" hidden="false" customHeight="false" outlineLevel="0" collapsed="false">
      <c r="C42" s="2" t="str">
        <f aca="false">IF(F42="","",IF(ROW()=2,INT((F42-$B$1)/7)+1,IF(INT((F42-$B$1)/7)&lt;&gt;INT((F41-$B$1)/7),INT((F42-$B$1)/7)+1,"")))</f>
        <v/>
      </c>
      <c r="D42" s="2" t="str">
        <f aca="false">IF(C42="","","W"&amp;TEXT(C42,"00"))</f>
        <v/>
      </c>
      <c r="E42" s="2" t="n">
        <f aca="false">E41+1</f>
        <v>41</v>
      </c>
      <c r="F42" s="41" t="n">
        <f aca="false">IF(L42="","",IF(F41+L42&lt;=$B$2,F41+L42,""))</f>
        <v>44314</v>
      </c>
      <c r="G42" s="2" t="str">
        <f aca="false">IF(F42="","",TEXT(F42,"ddd"))</f>
        <v>Wed</v>
      </c>
      <c r="H42" s="2" t="str">
        <f aca="false">IF(F42="","",CHOOSE(WEEKDAY(F42,2),"Mo","Tu","We","Th","Fr","Sa","Su"))</f>
        <v>We</v>
      </c>
      <c r="I42" s="2" t="n">
        <f aca="false">IF(F42="","",MONTH(F42))</f>
        <v>4</v>
      </c>
      <c r="J42" s="2" t="str">
        <f aca="false">IF(F42="","",TEXT(F42,"mmm"))</f>
        <v>Apr</v>
      </c>
      <c r="K42" s="2" t="n">
        <f aca="false">IF(F42="","",DAY(F42))</f>
        <v>28</v>
      </c>
      <c r="L42" s="1" t="n">
        <f aca="false">IF(F41="","",MIN(IF(MID($B$3,WEEKDAY(F41+1,2),1)="C",1,99),IF(MID($B$3,WEEKDAY(F41+2,2),1)="C",2,99),IF(MID($B$3,WEEKDAY(F41+3,2),1)="C",3,99),IF(MID($B$3,WEEKDAY(F41+4,2),1)="C",4,99),IF(MID($B$3,WEEKDAY(F41+5,2),1)="C",5,99),IF(MID($B$3,WEEKDAY(F41+6,2),1)="C",6,99),IF(MID($B$3,WEEKDAY(F41+7,2),1)="C",7,99)))</f>
        <v>2</v>
      </c>
    </row>
    <row r="43" customFormat="false" ht="13.8" hidden="false" customHeight="false" outlineLevel="0" collapsed="false">
      <c r="C43" s="2" t="str">
        <f aca="false">IF(F43="","",IF(ROW()=2,INT((F43-$B$1)/7)+1,IF(INT((F43-$B$1)/7)&lt;&gt;INT((F42-$B$1)/7),INT((F43-$B$1)/7)+1,"")))</f>
        <v/>
      </c>
      <c r="D43" s="2" t="str">
        <f aca="false">IF(C43="","","W"&amp;TEXT(C43,"00"))</f>
        <v/>
      </c>
      <c r="E43" s="2" t="n">
        <f aca="false">E42+1</f>
        <v>42</v>
      </c>
      <c r="F43" s="41" t="n">
        <f aca="false">IF(L43="","",IF(F42+L43&lt;=$B$2,F42+L43,""))</f>
        <v>44316</v>
      </c>
      <c r="G43" s="2" t="str">
        <f aca="false">IF(F43="","",TEXT(F43,"ddd"))</f>
        <v>Fri</v>
      </c>
      <c r="H43" s="2" t="str">
        <f aca="false">IF(F43="","",CHOOSE(WEEKDAY(F43,2),"Mo","Tu","We","Th","Fr","Sa","Su"))</f>
        <v>Fr</v>
      </c>
      <c r="I43" s="2" t="n">
        <f aca="false">IF(F43="","",MONTH(F43))</f>
        <v>4</v>
      </c>
      <c r="J43" s="2" t="str">
        <f aca="false">IF(F43="","",TEXT(F43,"mmm"))</f>
        <v>Apr</v>
      </c>
      <c r="K43" s="2" t="n">
        <f aca="false">IF(F43="","",DAY(F43))</f>
        <v>30</v>
      </c>
      <c r="L43" s="1" t="n">
        <f aca="false">IF(F42="","",MIN(IF(MID($B$3,WEEKDAY(F42+1,2),1)="C",1,99),IF(MID($B$3,WEEKDAY(F42+2,2),1)="C",2,99),IF(MID($B$3,WEEKDAY(F42+3,2),1)="C",3,99),IF(MID($B$3,WEEKDAY(F42+4,2),1)="C",4,99),IF(MID($B$3,WEEKDAY(F42+5,2),1)="C",5,99),IF(MID($B$3,WEEKDAY(F42+6,2),1)="C",6,99),IF(MID($B$3,WEEKDAY(F42+7,2),1)="C",7,99)))</f>
        <v>2</v>
      </c>
    </row>
    <row r="44" customFormat="false" ht="13.8" hidden="false" customHeight="false" outlineLevel="0" collapsed="false">
      <c r="C44" s="2" t="n">
        <f aca="false">IF(F44="","",IF(ROW()=2,INT((F44-$B$1)/7)+1,IF(INT((F44-$B$1)/7)&lt;&gt;INT((F43-$B$1)/7),INT((F44-$B$1)/7)+1,"")))</f>
        <v>15</v>
      </c>
      <c r="D44" s="2" t="str">
        <f aca="false">IF(C44="","","W"&amp;TEXT(C44,"00"))</f>
        <v>W15</v>
      </c>
      <c r="E44" s="2" t="n">
        <f aca="false">E43+1</f>
        <v>43</v>
      </c>
      <c r="F44" s="41" t="n">
        <f aca="false">IF(L44="","",IF(F43+L44&lt;=$B$2,F43+L44,""))</f>
        <v>44319</v>
      </c>
      <c r="G44" s="2" t="str">
        <f aca="false">IF(F44="","",TEXT(F44,"ddd"))</f>
        <v>Mon</v>
      </c>
      <c r="H44" s="2" t="str">
        <f aca="false">IF(F44="","",CHOOSE(WEEKDAY(F44,2),"Mo","Tu","We","Th","Fr","Sa","Su"))</f>
        <v>Mo</v>
      </c>
      <c r="I44" s="2" t="n">
        <f aca="false">IF(F44="","",MONTH(F44))</f>
        <v>5</v>
      </c>
      <c r="J44" s="2" t="str">
        <f aca="false">IF(F44="","",TEXT(F44,"mmm"))</f>
        <v>May</v>
      </c>
      <c r="K44" s="2" t="n">
        <f aca="false">IF(F44="","",DAY(F44))</f>
        <v>3</v>
      </c>
      <c r="L44" s="1" t="n">
        <f aca="false">IF(F43="","",MIN(IF(MID($B$3,WEEKDAY(F43+1,2),1)="C",1,99),IF(MID($B$3,WEEKDAY(F43+2,2),1)="C",2,99),IF(MID($B$3,WEEKDAY(F43+3,2),1)="C",3,99),IF(MID($B$3,WEEKDAY(F43+4,2),1)="C",4,99),IF(MID($B$3,WEEKDAY(F43+5,2),1)="C",5,99),IF(MID($B$3,WEEKDAY(F43+6,2),1)="C",6,99),IF(MID($B$3,WEEKDAY(F43+7,2),1)="C",7,99)))</f>
        <v>3</v>
      </c>
    </row>
    <row r="45" customFormat="false" ht="13.8" hidden="false" customHeight="false" outlineLevel="0" collapsed="false">
      <c r="C45" s="2" t="str">
        <f aca="false">IF(F45="","",IF(ROW()=2,INT((F45-$B$1)/7)+1,IF(INT((F45-$B$1)/7)&lt;&gt;INT((F44-$B$1)/7),INT((F45-$B$1)/7)+1,"")))</f>
        <v/>
      </c>
      <c r="D45" s="2" t="str">
        <f aca="false">IF(C45="","","W"&amp;TEXT(C45,"00"))</f>
        <v/>
      </c>
      <c r="E45" s="2" t="n">
        <f aca="false">E44+1</f>
        <v>44</v>
      </c>
      <c r="F45" s="41" t="n">
        <f aca="false">IF(L45="","",IF(F44+L45&lt;=$B$2,F44+L45,""))</f>
        <v>44321</v>
      </c>
      <c r="G45" s="2" t="str">
        <f aca="false">IF(F45="","",TEXT(F45,"ddd"))</f>
        <v>Wed</v>
      </c>
      <c r="H45" s="2" t="str">
        <f aca="false">IF(F45="","",CHOOSE(WEEKDAY(F45,2),"Mo","Tu","We","Th","Fr","Sa","Su"))</f>
        <v>We</v>
      </c>
      <c r="I45" s="2" t="n">
        <f aca="false">IF(F45="","",MONTH(F45))</f>
        <v>5</v>
      </c>
      <c r="J45" s="2" t="str">
        <f aca="false">IF(F45="","",TEXT(F45,"mmm"))</f>
        <v>May</v>
      </c>
      <c r="K45" s="2" t="n">
        <f aca="false">IF(F45="","",DAY(F45))</f>
        <v>5</v>
      </c>
      <c r="L45" s="1" t="n">
        <f aca="false">IF(F44="","",MIN(IF(MID($B$3,WEEKDAY(F44+1,2),1)="C",1,99),IF(MID($B$3,WEEKDAY(F44+2,2),1)="C",2,99),IF(MID($B$3,WEEKDAY(F44+3,2),1)="C",3,99),IF(MID($B$3,WEEKDAY(F44+4,2),1)="C",4,99),IF(MID($B$3,WEEKDAY(F44+5,2),1)="C",5,99),IF(MID($B$3,WEEKDAY(F44+6,2),1)="C",6,99),IF(MID($B$3,WEEKDAY(F44+7,2),1)="C",7,99)))</f>
        <v>2</v>
      </c>
    </row>
    <row r="46" customFormat="false" ht="13.8" hidden="false" customHeight="false" outlineLevel="0" collapsed="false">
      <c r="C46" s="2" t="str">
        <f aca="false">IF(F46="","",IF(ROW()=2,INT((F46-$B$1)/7)+1,IF(INT((F46-$B$1)/7)&lt;&gt;INT((F45-$B$1)/7),INT((F46-$B$1)/7)+1,"")))</f>
        <v/>
      </c>
      <c r="D46" s="2" t="str">
        <f aca="false">IF(C46="","","W"&amp;TEXT(C46,"00"))</f>
        <v/>
      </c>
      <c r="E46" s="2" t="n">
        <f aca="false">E45+1</f>
        <v>45</v>
      </c>
      <c r="F46" s="41" t="n">
        <f aca="false">IF(L46="","",IF(F45+L46&lt;=$B$2,F45+L46,""))</f>
        <v>44323</v>
      </c>
      <c r="G46" s="2" t="str">
        <f aca="false">IF(F46="","",TEXT(F46,"ddd"))</f>
        <v>Fri</v>
      </c>
      <c r="H46" s="2" t="str">
        <f aca="false">IF(F46="","",CHOOSE(WEEKDAY(F46,2),"Mo","Tu","We","Th","Fr","Sa","Su"))</f>
        <v>Fr</v>
      </c>
      <c r="I46" s="2" t="n">
        <f aca="false">IF(F46="","",MONTH(F46))</f>
        <v>5</v>
      </c>
      <c r="J46" s="2" t="str">
        <f aca="false">IF(F46="","",TEXT(F46,"mmm"))</f>
        <v>May</v>
      </c>
      <c r="K46" s="2" t="n">
        <f aca="false">IF(F46="","",DAY(F46))</f>
        <v>7</v>
      </c>
      <c r="L46" s="1" t="n">
        <f aca="false">IF(F45="","",MIN(IF(MID($B$3,WEEKDAY(F45+1,2),1)="C",1,99),IF(MID($B$3,WEEKDAY(F45+2,2),1)="C",2,99),IF(MID($B$3,WEEKDAY(F45+3,2),1)="C",3,99),IF(MID($B$3,WEEKDAY(F45+4,2),1)="C",4,99),IF(MID($B$3,WEEKDAY(F45+5,2),1)="C",5,99),IF(MID($B$3,WEEKDAY(F45+6,2),1)="C",6,99),IF(MID($B$3,WEEKDAY(F45+7,2),1)="C",7,99)))</f>
        <v>2</v>
      </c>
    </row>
    <row r="47" customFormat="false" ht="13.8" hidden="false" customHeight="false" outlineLevel="0" collapsed="false">
      <c r="C47" s="2" t="n">
        <f aca="false">IF(F47="","",IF(ROW()=2,INT((F47-$B$1)/7)+1,IF(INT((F47-$B$1)/7)&lt;&gt;INT((F46-$B$1)/7),INT((F47-$B$1)/7)+1,"")))</f>
        <v>16</v>
      </c>
      <c r="D47" s="2" t="str">
        <f aca="false">IF(C47="","","W"&amp;TEXT(C47,"00"))</f>
        <v>W16</v>
      </c>
      <c r="E47" s="2" t="n">
        <f aca="false">E46+1</f>
        <v>46</v>
      </c>
      <c r="F47" s="41" t="n">
        <f aca="false">IF(L47="","",IF(F46+L47&lt;=$B$2,F46+L47,""))</f>
        <v>44326</v>
      </c>
      <c r="G47" s="2" t="str">
        <f aca="false">IF(F47="","",TEXT(F47,"ddd"))</f>
        <v>Mon</v>
      </c>
      <c r="H47" s="2" t="str">
        <f aca="false">IF(F47="","",CHOOSE(WEEKDAY(F47,2),"Mo","Tu","We","Th","Fr","Sa","Su"))</f>
        <v>Mo</v>
      </c>
      <c r="I47" s="2" t="n">
        <f aca="false">IF(F47="","",MONTH(F47))</f>
        <v>5</v>
      </c>
      <c r="J47" s="2" t="str">
        <f aca="false">IF(F47="","",TEXT(F47,"mmm"))</f>
        <v>May</v>
      </c>
      <c r="K47" s="2" t="n">
        <f aca="false">IF(F47="","",DAY(F47))</f>
        <v>10</v>
      </c>
      <c r="L47" s="1" t="n">
        <f aca="false">IF(F46="","",MIN(IF(MID($B$3,WEEKDAY(F46+1,2),1)="C",1,99),IF(MID($B$3,WEEKDAY(F46+2,2),1)="C",2,99),IF(MID($B$3,WEEKDAY(F46+3,2),1)="C",3,99),IF(MID($B$3,WEEKDAY(F46+4,2),1)="C",4,99),IF(MID($B$3,WEEKDAY(F46+5,2),1)="C",5,99),IF(MID($B$3,WEEKDAY(F46+6,2),1)="C",6,99),IF(MID($B$3,WEEKDAY(F46+7,2),1)="C",7,99)))</f>
        <v>3</v>
      </c>
    </row>
    <row r="48" customFormat="false" ht="13.8" hidden="false" customHeight="false" outlineLevel="0" collapsed="false">
      <c r="C48" s="2" t="str">
        <f aca="false">IF(F48="","",IF(ROW()=2,INT((F48-$B$1)/7)+1,IF(INT((F48-$B$1)/7)&lt;&gt;INT((F47-$B$1)/7),INT((F48-$B$1)/7)+1,"")))</f>
        <v/>
      </c>
      <c r="D48" s="2" t="str">
        <f aca="false">IF(C48="","","W"&amp;TEXT(C48,"00"))</f>
        <v/>
      </c>
      <c r="E48" s="2" t="n">
        <f aca="false">E47+1</f>
        <v>47</v>
      </c>
      <c r="F48" s="41" t="n">
        <f aca="false">IF(L48="","",IF(F47+L48&lt;=$B$2,F47+L48,""))</f>
        <v>44328</v>
      </c>
      <c r="G48" s="2" t="str">
        <f aca="false">IF(F48="","",TEXT(F48,"ddd"))</f>
        <v>Wed</v>
      </c>
      <c r="H48" s="2" t="str">
        <f aca="false">IF(F48="","",CHOOSE(WEEKDAY(F48,2),"Mo","Tu","We","Th","Fr","Sa","Su"))</f>
        <v>We</v>
      </c>
      <c r="I48" s="2" t="n">
        <f aca="false">IF(F48="","",MONTH(F48))</f>
        <v>5</v>
      </c>
      <c r="J48" s="2" t="str">
        <f aca="false">IF(F48="","",TEXT(F48,"mmm"))</f>
        <v>May</v>
      </c>
      <c r="K48" s="2" t="n">
        <f aca="false">IF(F48="","",DAY(F48))</f>
        <v>12</v>
      </c>
      <c r="L48" s="1" t="n">
        <f aca="false">IF(F47="","",MIN(IF(MID($B$3,WEEKDAY(F47+1,2),1)="C",1,99),IF(MID($B$3,WEEKDAY(F47+2,2),1)="C",2,99),IF(MID($B$3,WEEKDAY(F47+3,2),1)="C",3,99),IF(MID($B$3,WEEKDAY(F47+4,2),1)="C",4,99),IF(MID($B$3,WEEKDAY(F47+5,2),1)="C",5,99),IF(MID($B$3,WEEKDAY(F47+6,2),1)="C",6,99),IF(MID($B$3,WEEKDAY(F47+7,2),1)="C",7,99)))</f>
        <v>2</v>
      </c>
    </row>
    <row r="49" customFormat="false" ht="13.8" hidden="false" customHeight="false" outlineLevel="0" collapsed="false">
      <c r="C49" s="2" t="str">
        <f aca="false">IF(F49="","",IF(ROW()=2,INT((F49-$B$1)/7)+1,IF(INT((F49-$B$1)/7)&lt;&gt;INT((F48-$B$1)/7),INT((F49-$B$1)/7)+1,"")))</f>
        <v/>
      </c>
      <c r="D49" s="2" t="str">
        <f aca="false">IF(C49="","","W"&amp;TEXT(C49,"00"))</f>
        <v/>
      </c>
      <c r="E49" s="2" t="n">
        <f aca="false">E48+1</f>
        <v>48</v>
      </c>
      <c r="F49" s="41" t="n">
        <f aca="false">IF(L49="","",IF(F48+L49&lt;=$B$2,F48+L49,""))</f>
        <v>44330</v>
      </c>
      <c r="G49" s="2" t="str">
        <f aca="false">IF(F49="","",TEXT(F49,"ddd"))</f>
        <v>Fri</v>
      </c>
      <c r="H49" s="2" t="str">
        <f aca="false">IF(F49="","",CHOOSE(WEEKDAY(F49,2),"Mo","Tu","We","Th","Fr","Sa","Su"))</f>
        <v>Fr</v>
      </c>
      <c r="I49" s="2" t="n">
        <f aca="false">IF(F49="","",MONTH(F49))</f>
        <v>5</v>
      </c>
      <c r="J49" s="2" t="str">
        <f aca="false">IF(F49="","",TEXT(F49,"mmm"))</f>
        <v>May</v>
      </c>
      <c r="K49" s="2" t="n">
        <f aca="false">IF(F49="","",DAY(F49))</f>
        <v>14</v>
      </c>
      <c r="L49" s="1" t="n">
        <f aca="false">IF(F48="","",MIN(IF(MID($B$3,WEEKDAY(F48+1,2),1)="C",1,99),IF(MID($B$3,WEEKDAY(F48+2,2),1)="C",2,99),IF(MID($B$3,WEEKDAY(F48+3,2),1)="C",3,99),IF(MID($B$3,WEEKDAY(F48+4,2),1)="C",4,99),IF(MID($B$3,WEEKDAY(F48+5,2),1)="C",5,99),IF(MID($B$3,WEEKDAY(F48+6,2),1)="C",6,99),IF(MID($B$3,WEEKDAY(F48+7,2),1)="C",7,99)))</f>
        <v>2</v>
      </c>
    </row>
    <row r="50" customFormat="false" ht="13.8" hidden="false" customHeight="false" outlineLevel="0" collapsed="false">
      <c r="C50" s="2" t="n">
        <f aca="false">IF(F50="","",IF(ROW()=2,INT((F50-$B$1)/7)+1,IF(INT((F50-$B$1)/7)&lt;&gt;INT((F49-$B$1)/7),INT((F50-$B$1)/7)+1,"")))</f>
        <v>17</v>
      </c>
      <c r="D50" s="2" t="str">
        <f aca="false">IF(C50="","","W"&amp;TEXT(C50,"00"))</f>
        <v>W17</v>
      </c>
      <c r="E50" s="2" t="n">
        <f aca="false">E49+1</f>
        <v>49</v>
      </c>
      <c r="F50" s="41" t="n">
        <f aca="false">IF(L50="","",IF(F49+L50&lt;=$B$2,F49+L50,""))</f>
        <v>44333</v>
      </c>
      <c r="G50" s="2" t="str">
        <f aca="false">IF(F50="","",TEXT(F50,"ddd"))</f>
        <v>Mon</v>
      </c>
      <c r="H50" s="2" t="str">
        <f aca="false">IF(F50="","",CHOOSE(WEEKDAY(F50,2),"Mo","Tu","We","Th","Fr","Sa","Su"))</f>
        <v>Mo</v>
      </c>
      <c r="I50" s="2" t="n">
        <f aca="false">IF(F50="","",MONTH(F50))</f>
        <v>5</v>
      </c>
      <c r="J50" s="2" t="str">
        <f aca="false">IF(F50="","",TEXT(F50,"mmm"))</f>
        <v>May</v>
      </c>
      <c r="K50" s="2" t="n">
        <f aca="false">IF(F50="","",DAY(F50))</f>
        <v>17</v>
      </c>
      <c r="L50" s="1" t="n">
        <f aca="false">IF(F49="","",MIN(IF(MID($B$3,WEEKDAY(F49+1,2),1)="C",1,99),IF(MID($B$3,WEEKDAY(F49+2,2),1)="C",2,99),IF(MID($B$3,WEEKDAY(F49+3,2),1)="C",3,99),IF(MID($B$3,WEEKDAY(F49+4,2),1)="C",4,99),IF(MID($B$3,WEEKDAY(F49+5,2),1)="C",5,99),IF(MID($B$3,WEEKDAY(F49+6,2),1)="C",6,99),IF(MID($B$3,WEEKDAY(F49+7,2),1)="C",7,99)))</f>
        <v>3</v>
      </c>
    </row>
    <row r="51" customFormat="false" ht="13.8" hidden="false" customHeight="false" outlineLevel="0" collapsed="false">
      <c r="C51" s="2" t="str">
        <f aca="false">IF(F51="","",IF(ROW()=2,INT((F51-$B$1)/7)+1,IF(INT((F51-$B$1)/7)&lt;&gt;INT((F50-$B$1)/7),INT((F51-$B$1)/7)+1,"")))</f>
        <v/>
      </c>
      <c r="D51" s="2" t="str">
        <f aca="false">IF(C51="","","W"&amp;TEXT(C51,"00"))</f>
        <v/>
      </c>
      <c r="E51" s="2" t="n">
        <f aca="false">E50+1</f>
        <v>50</v>
      </c>
      <c r="F51" s="41" t="n">
        <f aca="false">IF(L51="","",IF(F50+L51&lt;=$B$2,F50+L51,""))</f>
        <v>44335</v>
      </c>
      <c r="G51" s="2" t="str">
        <f aca="false">IF(F51="","",TEXT(F51,"ddd"))</f>
        <v>Wed</v>
      </c>
      <c r="H51" s="2" t="str">
        <f aca="false">IF(F51="","",CHOOSE(WEEKDAY(F51,2),"Mo","Tu","We","Th","Fr","Sa","Su"))</f>
        <v>We</v>
      </c>
      <c r="I51" s="2" t="n">
        <f aca="false">IF(F51="","",MONTH(F51))</f>
        <v>5</v>
      </c>
      <c r="J51" s="2" t="str">
        <f aca="false">IF(F51="","",TEXT(F51,"mmm"))</f>
        <v>May</v>
      </c>
      <c r="K51" s="2" t="n">
        <f aca="false">IF(F51="","",DAY(F51))</f>
        <v>19</v>
      </c>
      <c r="L51" s="1" t="n">
        <f aca="false">IF(F50="","",MIN(IF(MID($B$3,WEEKDAY(F50+1,2),1)="C",1,99),IF(MID($B$3,WEEKDAY(F50+2,2),1)="C",2,99),IF(MID($B$3,WEEKDAY(F50+3,2),1)="C",3,99),IF(MID($B$3,WEEKDAY(F50+4,2),1)="C",4,99),IF(MID($B$3,WEEKDAY(F50+5,2),1)="C",5,99),IF(MID($B$3,WEEKDAY(F50+6,2),1)="C",6,99),IF(MID($B$3,WEEKDAY(F50+7,2),1)="C",7,99)))</f>
        <v>2</v>
      </c>
    </row>
    <row r="52" customFormat="false" ht="13.8" hidden="false" customHeight="false" outlineLevel="0" collapsed="false">
      <c r="C52" s="2" t="str">
        <f aca="false">IF(F52="","",IF(ROW()=2,INT((F52-$B$1)/7)+1,IF(INT((F52-$B$1)/7)&lt;&gt;INT((F51-$B$1)/7),INT((F52-$B$1)/7)+1,"")))</f>
        <v/>
      </c>
      <c r="D52" s="2" t="str">
        <f aca="false">IF(C52="","","W"&amp;TEXT(C52,"00"))</f>
        <v/>
      </c>
      <c r="E52" s="2" t="n">
        <f aca="false">E51+1</f>
        <v>51</v>
      </c>
      <c r="F52" s="41" t="n">
        <f aca="false">IF(L52="","",IF(F51+L52&lt;=$B$2,F51+L52,""))</f>
        <v>44337</v>
      </c>
      <c r="G52" s="2" t="str">
        <f aca="false">IF(F52="","",TEXT(F52,"ddd"))</f>
        <v>Fri</v>
      </c>
      <c r="H52" s="2" t="str">
        <f aca="false">IF(F52="","",CHOOSE(WEEKDAY(F52,2),"Mo","Tu","We","Th","Fr","Sa","Su"))</f>
        <v>Fr</v>
      </c>
      <c r="I52" s="2" t="n">
        <f aca="false">IF(F52="","",MONTH(F52))</f>
        <v>5</v>
      </c>
      <c r="J52" s="2" t="str">
        <f aca="false">IF(F52="","",TEXT(F52,"mmm"))</f>
        <v>May</v>
      </c>
      <c r="K52" s="2" t="n">
        <f aca="false">IF(F52="","",DAY(F52))</f>
        <v>21</v>
      </c>
      <c r="L52" s="1" t="n">
        <f aca="false">IF(F51="","",MIN(IF(MID($B$3,WEEKDAY(F51+1,2),1)="C",1,99),IF(MID($B$3,WEEKDAY(F51+2,2),1)="C",2,99),IF(MID($B$3,WEEKDAY(F51+3,2),1)="C",3,99),IF(MID($B$3,WEEKDAY(F51+4,2),1)="C",4,99),IF(MID($B$3,WEEKDAY(F51+5,2),1)="C",5,99),IF(MID($B$3,WEEKDAY(F51+6,2),1)="C",6,99),IF(MID($B$3,WEEKDAY(F51+7,2),1)="C",7,99)))</f>
        <v>2</v>
      </c>
    </row>
    <row r="53" customFormat="false" ht="13.8" hidden="false" customHeight="false" outlineLevel="0" collapsed="false">
      <c r="C53" s="2" t="n">
        <f aca="false">IF(F53="","",IF(ROW()=2,INT((F53-$B$1)/7)+1,IF(INT((F53-$B$1)/7)&lt;&gt;INT((F52-$B$1)/7),INT((F53-$B$1)/7)+1,"")))</f>
        <v>18</v>
      </c>
      <c r="D53" s="2" t="str">
        <f aca="false">IF(C53="","","W"&amp;TEXT(C53,"00"))</f>
        <v>W18</v>
      </c>
      <c r="E53" s="2" t="n">
        <f aca="false">E52+1</f>
        <v>52</v>
      </c>
      <c r="F53" s="41" t="n">
        <f aca="false">IF(L53="","",IF(F52+L53&lt;=$B$2,F52+L53,""))</f>
        <v>44340</v>
      </c>
      <c r="G53" s="2" t="str">
        <f aca="false">IF(F53="","",TEXT(F53,"ddd"))</f>
        <v>Mon</v>
      </c>
      <c r="H53" s="2" t="str">
        <f aca="false">IF(F53="","",CHOOSE(WEEKDAY(F53,2),"Mo","Tu","We","Th","Fr","Sa","Su"))</f>
        <v>Mo</v>
      </c>
      <c r="I53" s="2" t="n">
        <f aca="false">IF(F53="","",MONTH(F53))</f>
        <v>5</v>
      </c>
      <c r="J53" s="2" t="str">
        <f aca="false">IF(F53="","",TEXT(F53,"mmm"))</f>
        <v>May</v>
      </c>
      <c r="K53" s="2" t="n">
        <f aca="false">IF(F53="","",DAY(F53))</f>
        <v>24</v>
      </c>
      <c r="L53" s="1" t="n">
        <f aca="false">IF(F52="","",MIN(IF(MID($B$3,WEEKDAY(F52+1,2),1)="C",1,99),IF(MID($B$3,WEEKDAY(F52+2,2),1)="C",2,99),IF(MID($B$3,WEEKDAY(F52+3,2),1)="C",3,99),IF(MID($B$3,WEEKDAY(F52+4,2),1)="C",4,99),IF(MID($B$3,WEEKDAY(F52+5,2),1)="C",5,99),IF(MID($B$3,WEEKDAY(F52+6,2),1)="C",6,99),IF(MID($B$3,WEEKDAY(F52+7,2),1)="C",7,99)))</f>
        <v>3</v>
      </c>
    </row>
    <row r="54" customFormat="false" ht="13.8" hidden="false" customHeight="false" outlineLevel="0" collapsed="false">
      <c r="C54" s="2" t="str">
        <f aca="false">IF(F54="","",IF(ROW()=2,INT((F54-$B$1)/7)+1,IF(INT((F54-$B$1)/7)&lt;&gt;INT((F53-$B$1)/7),INT((F54-$B$1)/7)+1,"")))</f>
        <v/>
      </c>
      <c r="D54" s="2" t="str">
        <f aca="false">IF(C54="","","W"&amp;TEXT(C54,"00"))</f>
        <v/>
      </c>
      <c r="E54" s="2" t="n">
        <f aca="false">E53+1</f>
        <v>53</v>
      </c>
      <c r="F54" s="41" t="n">
        <f aca="false">IF(L54="","",IF(F53+L54&lt;=$B$2,F53+L54,""))</f>
        <v>44342</v>
      </c>
      <c r="G54" s="2" t="str">
        <f aca="false">IF(F54="","",TEXT(F54,"ddd"))</f>
        <v>Wed</v>
      </c>
      <c r="H54" s="2" t="str">
        <f aca="false">IF(F54="","",CHOOSE(WEEKDAY(F54,2),"Mo","Tu","We","Th","Fr","Sa","Su"))</f>
        <v>We</v>
      </c>
      <c r="I54" s="2" t="n">
        <f aca="false">IF(F54="","",MONTH(F54))</f>
        <v>5</v>
      </c>
      <c r="J54" s="2" t="str">
        <f aca="false">IF(F54="","",TEXT(F54,"mmm"))</f>
        <v>May</v>
      </c>
      <c r="K54" s="2" t="n">
        <f aca="false">IF(F54="","",DAY(F54))</f>
        <v>26</v>
      </c>
      <c r="L54" s="1" t="n">
        <f aca="false">IF(F53="","",MIN(IF(MID($B$3,WEEKDAY(F53+1,2),1)="C",1,99),IF(MID($B$3,WEEKDAY(F53+2,2),1)="C",2,99),IF(MID($B$3,WEEKDAY(F53+3,2),1)="C",3,99),IF(MID($B$3,WEEKDAY(F53+4,2),1)="C",4,99),IF(MID($B$3,WEEKDAY(F53+5,2),1)="C",5,99),IF(MID($B$3,WEEKDAY(F53+6,2),1)="C",6,99),IF(MID($B$3,WEEKDAY(F53+7,2),1)="C",7,99)))</f>
        <v>2</v>
      </c>
    </row>
    <row r="55" customFormat="false" ht="13.8" hidden="false" customHeight="false" outlineLevel="0" collapsed="false">
      <c r="C55" s="2" t="str">
        <f aca="false">IF(F55="","",IF(ROW()=2,INT((F55-$B$1)/7)+1,IF(INT((F55-$B$1)/7)&lt;&gt;INT((F54-$B$1)/7),INT((F55-$B$1)/7)+1,"")))</f>
        <v/>
      </c>
      <c r="D55" s="2" t="str">
        <f aca="false">IF(C55="","","W"&amp;TEXT(C55,"00"))</f>
        <v/>
      </c>
      <c r="E55" s="2" t="n">
        <f aca="false">E54+1</f>
        <v>54</v>
      </c>
      <c r="F55" s="41" t="n">
        <f aca="false">IF(L55="","",IF(F54+L55&lt;=$B$2,F54+L55,""))</f>
        <v>44344</v>
      </c>
      <c r="G55" s="2" t="str">
        <f aca="false">IF(F55="","",TEXT(F55,"ddd"))</f>
        <v>Fri</v>
      </c>
      <c r="H55" s="2" t="str">
        <f aca="false">IF(F55="","",CHOOSE(WEEKDAY(F55,2),"Mo","Tu","We","Th","Fr","Sa","Su"))</f>
        <v>Fr</v>
      </c>
      <c r="I55" s="2" t="n">
        <f aca="false">IF(F55="","",MONTH(F55))</f>
        <v>5</v>
      </c>
      <c r="J55" s="2" t="str">
        <f aca="false">IF(F55="","",TEXT(F55,"mmm"))</f>
        <v>May</v>
      </c>
      <c r="K55" s="2" t="n">
        <f aca="false">IF(F55="","",DAY(F55))</f>
        <v>28</v>
      </c>
      <c r="L55" s="46" t="n">
        <f aca="false">IF(F54="","",MIN(IF(MID($B$3,WEEKDAY(F54+1,2),1)="C",1,99),IF(MID($B$3,WEEKDAY(F54+2,2),1)="C",2,99),IF(MID($B$3,WEEKDAY(F54+3,2),1)="C",3,99),IF(MID($B$3,WEEKDAY(F54+4,2),1)="C",4,99),IF(MID($B$3,WEEKDAY(F54+5,2),1)="C",5,99),IF(MID($B$3,WEEKDAY(F54+6,2),1)="C",6,99),IF(MID($B$3,WEEKDAY(F54+7,2),1)="C",7,99)))</f>
        <v>2</v>
      </c>
    </row>
    <row r="56" customFormat="false" ht="13.8" hidden="false" customHeight="false" outlineLevel="0" collapsed="false">
      <c r="C56" s="2" t="n">
        <f aca="false">IF(F56="","",IF(ROW()=2,INT((F56-$B$1)/7)+1,IF(INT((F56-$B$1)/7)&lt;&gt;INT((F55-$B$1)/7),INT((F56-$B$1)/7)+1,"")))</f>
        <v>19</v>
      </c>
      <c r="D56" s="2" t="str">
        <f aca="false">IF(C56="","","W"&amp;TEXT(C56,"00"))</f>
        <v>W19</v>
      </c>
      <c r="E56" s="2" t="n">
        <f aca="false">E55+1</f>
        <v>55</v>
      </c>
      <c r="F56" s="41" t="n">
        <f aca="false">IF(L56="","",IF(F55+L56&lt;=$B$2,F55+L56,""))</f>
        <v>44347</v>
      </c>
      <c r="G56" s="2" t="str">
        <f aca="false">IF(F56="","",TEXT(F56,"ddd"))</f>
        <v>Mon</v>
      </c>
      <c r="H56" s="2" t="str">
        <f aca="false">IF(F56="","",CHOOSE(WEEKDAY(F56,2),"Mo","Tu","We","Th","Fr","Sa","Su"))</f>
        <v>Mo</v>
      </c>
      <c r="I56" s="2" t="n">
        <f aca="false">IF(F56="","",MONTH(F56))</f>
        <v>5</v>
      </c>
      <c r="J56" s="2" t="str">
        <f aca="false">IF(F56="","",TEXT(F56,"mmm"))</f>
        <v>May</v>
      </c>
      <c r="K56" s="2" t="n">
        <f aca="false">IF(F56="","",DAY(F56))</f>
        <v>31</v>
      </c>
      <c r="L56" s="46" t="n">
        <f aca="false">IF(F55="","",MIN(IF(MID($B$3,WEEKDAY(F55+1,2),1)="C",1,99),IF(MID($B$3,WEEKDAY(F55+2,2),1)="C",2,99),IF(MID($B$3,WEEKDAY(F55+3,2),1)="C",3,99),IF(MID($B$3,WEEKDAY(F55+4,2),1)="C",4,99),IF(MID($B$3,WEEKDAY(F55+5,2),1)="C",5,99),IF(MID($B$3,WEEKDAY(F55+6,2),1)="C",6,99),IF(MID($B$3,WEEKDAY(F55+7,2),1)="C",7,99)))</f>
        <v>3</v>
      </c>
    </row>
    <row r="57" customFormat="false" ht="13.8" hidden="false" customHeight="false" outlineLevel="0" collapsed="false">
      <c r="C57" s="2" t="str">
        <f aca="false">IF(F57="","",IF(ROW()=2,INT((F57-$B$1)/7)+1,IF(INT((F57-$B$1)/7)&lt;&gt;INT((F56-$B$1)/7),INT((F57-$B$1)/7)+1,"")))</f>
        <v/>
      </c>
      <c r="D57" s="2" t="str">
        <f aca="false">IF(C57="","","W"&amp;TEXT(C57,"00"))</f>
        <v/>
      </c>
      <c r="E57" s="2" t="n">
        <f aca="false">E56+1</f>
        <v>56</v>
      </c>
      <c r="F57" s="41" t="n">
        <f aca="false">IF(L57="","",IF(F56+L57&lt;=$B$2,F56+L57,""))</f>
        <v>44349</v>
      </c>
      <c r="G57" s="2" t="str">
        <f aca="false">IF(F57="","",TEXT(F57,"ddd"))</f>
        <v>Wed</v>
      </c>
      <c r="H57" s="2" t="str">
        <f aca="false">IF(F57="","",CHOOSE(WEEKDAY(F57,2),"Mo","Tu","We","Th","Fr","Sa","Su"))</f>
        <v>We</v>
      </c>
      <c r="I57" s="2" t="n">
        <f aca="false">IF(F57="","",MONTH(F57))</f>
        <v>6</v>
      </c>
      <c r="J57" s="2" t="str">
        <f aca="false">IF(F57="","",TEXT(F57,"mmm"))</f>
        <v>Jun</v>
      </c>
      <c r="K57" s="2" t="n">
        <f aca="false">IF(F57="","",DAY(F57))</f>
        <v>2</v>
      </c>
      <c r="L57" s="46" t="n">
        <f aca="false">IF(F56="","",MIN(IF(MID($B$3,WEEKDAY(F56+1,2),1)="C",1,99),IF(MID($B$3,WEEKDAY(F56+2,2),1)="C",2,99),IF(MID($B$3,WEEKDAY(F56+3,2),1)="C",3,99),IF(MID($B$3,WEEKDAY(F56+4,2),1)="C",4,99),IF(MID($B$3,WEEKDAY(F56+5,2),1)="C",5,99),IF(MID($B$3,WEEKDAY(F56+6,2),1)="C",6,99),IF(MID($B$3,WEEKDAY(F56+7,2),1)="C",7,99)))</f>
        <v>2</v>
      </c>
    </row>
    <row r="58" customFormat="false" ht="13.8" hidden="false" customHeight="false" outlineLevel="0" collapsed="false">
      <c r="C58" s="2" t="str">
        <f aca="false">IF(F58="","",IF(ROW()=2,INT((F58-$B$1)/7)+1,IF(INT((F58-$B$1)/7)&lt;&gt;INT((F57-$B$1)/7),INT((F58-$B$1)/7)+1,"")))</f>
        <v/>
      </c>
      <c r="D58" s="2" t="str">
        <f aca="false">IF(C58="","","W"&amp;TEXT(C58,"00"))</f>
        <v/>
      </c>
      <c r="E58" s="2" t="n">
        <f aca="false">E57+1</f>
        <v>57</v>
      </c>
      <c r="F58" s="41" t="n">
        <f aca="false">IF(L58="","",IF(F57+L58&lt;=$B$2,F57+L58,""))</f>
        <v>44351</v>
      </c>
      <c r="G58" s="2" t="str">
        <f aca="false">IF(F58="","",TEXT(F58,"ddd"))</f>
        <v>Fri</v>
      </c>
      <c r="H58" s="2" t="str">
        <f aca="false">IF(F58="","",CHOOSE(WEEKDAY(F58,2),"Mo","Tu","We","Th","Fr","Sa","Su"))</f>
        <v>Fr</v>
      </c>
      <c r="I58" s="2" t="n">
        <f aca="false">IF(F58="","",MONTH(F58))</f>
        <v>6</v>
      </c>
      <c r="J58" s="2" t="str">
        <f aca="false">IF(F58="","",TEXT(F58,"mmm"))</f>
        <v>Jun</v>
      </c>
      <c r="K58" s="2" t="n">
        <f aca="false">IF(F58="","",DAY(F58))</f>
        <v>4</v>
      </c>
      <c r="L58" s="46" t="n">
        <f aca="false">IF(F57="","",MIN(IF(MID($B$3,WEEKDAY(F57+1,2),1)="C",1,99),IF(MID($B$3,WEEKDAY(F57+2,2),1)="C",2,99),IF(MID($B$3,WEEKDAY(F57+3,2),1)="C",3,99),IF(MID($B$3,WEEKDAY(F57+4,2),1)="C",4,99),IF(MID($B$3,WEEKDAY(F57+5,2),1)="C",5,99),IF(MID($B$3,WEEKDAY(F57+6,2),1)="C",6,99),IF(MID($B$3,WEEKDAY(F57+7,2),1)="C",7,99)))</f>
        <v>2</v>
      </c>
    </row>
    <row r="59" customFormat="false" ht="13.8" hidden="false" customHeight="false" outlineLevel="0" collapsed="false">
      <c r="C59" s="2" t="n">
        <f aca="false">IF(F59="","",IF(ROW()=2,INT((F59-$B$1)/7)+1,IF(INT((F59-$B$1)/7)&lt;&gt;INT((F58-$B$1)/7),INT((F59-$B$1)/7)+1,"")))</f>
        <v>20</v>
      </c>
      <c r="D59" s="2" t="str">
        <f aca="false">IF(C59="","","W"&amp;TEXT(C59,"00"))</f>
        <v>W20</v>
      </c>
      <c r="E59" s="2" t="n">
        <f aca="false">E58+1</f>
        <v>58</v>
      </c>
      <c r="F59" s="41" t="n">
        <f aca="false">IF(L59="","",IF(F58+L59&lt;=$B$2,F58+L59,""))</f>
        <v>44354</v>
      </c>
      <c r="G59" s="2" t="str">
        <f aca="false">IF(F59="","",TEXT(F59,"ddd"))</f>
        <v>Mon</v>
      </c>
      <c r="H59" s="2" t="str">
        <f aca="false">IF(F59="","",CHOOSE(WEEKDAY(F59,2),"Mo","Tu","We","Th","Fr","Sa","Su"))</f>
        <v>Mo</v>
      </c>
      <c r="I59" s="2" t="n">
        <f aca="false">IF(F59="","",MONTH(F59))</f>
        <v>6</v>
      </c>
      <c r="J59" s="2" t="str">
        <f aca="false">IF(F59="","",TEXT(F59,"mmm"))</f>
        <v>Jun</v>
      </c>
      <c r="K59" s="2" t="n">
        <f aca="false">IF(F59="","",DAY(F59))</f>
        <v>7</v>
      </c>
      <c r="L59" s="46" t="n">
        <f aca="false">IF(F58="","",MIN(IF(MID($B$3,WEEKDAY(F58+1,2),1)="C",1,99),IF(MID($B$3,WEEKDAY(F58+2,2),1)="C",2,99),IF(MID($B$3,WEEKDAY(F58+3,2),1)="C",3,99),IF(MID($B$3,WEEKDAY(F58+4,2),1)="C",4,99),IF(MID($B$3,WEEKDAY(F58+5,2),1)="C",5,99),IF(MID($B$3,WEEKDAY(F58+6,2),1)="C",6,99),IF(MID($B$3,WEEKDAY(F58+7,2),1)="C",7,99)))</f>
        <v>3</v>
      </c>
    </row>
    <row r="60" customFormat="false" ht="13.8" hidden="false" customHeight="false" outlineLevel="0" collapsed="false">
      <c r="C60" s="2" t="str">
        <f aca="false">IF(F60="","",IF(ROW()=2,INT((F60-$B$1)/7)+1,IF(INT((F60-$B$1)/7)&lt;&gt;INT((F59-$B$1)/7),INT((F60-$B$1)/7)+1,"")))</f>
        <v/>
      </c>
      <c r="D60" s="2" t="str">
        <f aca="false">IF(C60="","","W"&amp;TEXT(C60,"00"))</f>
        <v/>
      </c>
      <c r="E60" s="2" t="n">
        <f aca="false">E59+1</f>
        <v>59</v>
      </c>
      <c r="F60" s="41" t="n">
        <f aca="false">IF(L60="","",IF(F59+L60&lt;=$B$2,F59+L60,""))</f>
        <v>44356</v>
      </c>
      <c r="G60" s="2" t="str">
        <f aca="false">IF(F60="","",TEXT(F60,"ddd"))</f>
        <v>Wed</v>
      </c>
      <c r="H60" s="2" t="str">
        <f aca="false">IF(F60="","",CHOOSE(WEEKDAY(F60,2),"Mo","Tu","We","Th","Fr","Sa","Su"))</f>
        <v>We</v>
      </c>
      <c r="I60" s="2" t="n">
        <f aca="false">IF(F60="","",MONTH(F60))</f>
        <v>6</v>
      </c>
      <c r="J60" s="2" t="str">
        <f aca="false">IF(F60="","",TEXT(F60,"mmm"))</f>
        <v>Jun</v>
      </c>
      <c r="K60" s="2" t="n">
        <f aca="false">IF(F60="","",DAY(F60))</f>
        <v>9</v>
      </c>
      <c r="L60" s="46" t="n">
        <f aca="false">IF(F59="","",MIN(IF(MID($B$3,WEEKDAY(F59+1,2),1)="C",1,99),IF(MID($B$3,WEEKDAY(F59+2,2),1)="C",2,99),IF(MID($B$3,WEEKDAY(F59+3,2),1)="C",3,99),IF(MID($B$3,WEEKDAY(F59+4,2),1)="C",4,99),IF(MID($B$3,WEEKDAY(F59+5,2),1)="C",5,99),IF(MID($B$3,WEEKDAY(F59+6,2),1)="C",6,99),IF(MID($B$3,WEEKDAY(F59+7,2),1)="C",7,99)))</f>
        <v>2</v>
      </c>
    </row>
    <row r="61" customFormat="false" ht="13.8" hidden="false" customHeight="false" outlineLevel="0" collapsed="false">
      <c r="C61" s="2" t="str">
        <f aca="false">IF(F61="","",IF(ROW()=2,INT((F61-$B$1)/7)+1,IF(INT((F61-$B$1)/7)&lt;&gt;INT((F60-$B$1)/7),INT((F61-$B$1)/7)+1,"")))</f>
        <v/>
      </c>
      <c r="D61" s="2" t="str">
        <f aca="false">IF(C61="","","W"&amp;TEXT(C61,"00"))</f>
        <v/>
      </c>
      <c r="E61" s="2" t="n">
        <f aca="false">E60+1</f>
        <v>60</v>
      </c>
      <c r="F61" s="41" t="n">
        <f aca="false">IF(L61="","",IF(F60+L61&lt;=$B$2,F60+L61,""))</f>
        <v>44358</v>
      </c>
      <c r="G61" s="2" t="str">
        <f aca="false">IF(F61="","",TEXT(F61,"ddd"))</f>
        <v>Fri</v>
      </c>
      <c r="H61" s="2" t="str">
        <f aca="false">IF(F61="","",CHOOSE(WEEKDAY(F61,2),"Mo","Tu","We","Th","Fr","Sa","Su"))</f>
        <v>Fr</v>
      </c>
      <c r="I61" s="2" t="n">
        <f aca="false">IF(F61="","",MONTH(F61))</f>
        <v>6</v>
      </c>
      <c r="J61" s="2" t="str">
        <f aca="false">IF(F61="","",TEXT(F61,"mmm"))</f>
        <v>Jun</v>
      </c>
      <c r="K61" s="2" t="n">
        <f aca="false">IF(F61="","",DAY(F61))</f>
        <v>11</v>
      </c>
      <c r="L61" s="46" t="n">
        <f aca="false">IF(F60="","",MIN(IF(MID($B$3,WEEKDAY(F60+1,2),1)="C",1,99),IF(MID($B$3,WEEKDAY(F60+2,2),1)="C",2,99),IF(MID($B$3,WEEKDAY(F60+3,2),1)="C",3,99),IF(MID($B$3,WEEKDAY(F60+4,2),1)="C",4,99),IF(MID($B$3,WEEKDAY(F60+5,2),1)="C",5,99),IF(MID($B$3,WEEKDAY(F60+6,2),1)="C",6,99),IF(MID($B$3,WEEKDAY(F60+7,2),1)="C",7,99)))</f>
        <v>2</v>
      </c>
    </row>
    <row r="62" customFormat="false" ht="13.8" hidden="false" customHeight="false" outlineLevel="0" collapsed="false">
      <c r="C62" s="2" t="n">
        <f aca="false">IF(F62="","",IF(ROW()=2,INT((F62-$B$1)/7)+1,IF(INT((F62-$B$1)/7)&lt;&gt;INT((F61-$B$1)/7),INT((F62-$B$1)/7)+1,"")))</f>
        <v>21</v>
      </c>
      <c r="D62" s="2" t="str">
        <f aca="false">IF(C62="","","W"&amp;TEXT(C62,"00"))</f>
        <v>W21</v>
      </c>
      <c r="E62" s="2" t="n">
        <f aca="false">E61+1</f>
        <v>61</v>
      </c>
      <c r="F62" s="41" t="n">
        <f aca="false">IF(L62="","",IF(F61+L62&lt;=$B$2,F61+L62,""))</f>
        <v>44361</v>
      </c>
      <c r="G62" s="2" t="str">
        <f aca="false">IF(F62="","",TEXT(F62,"ddd"))</f>
        <v>Mon</v>
      </c>
      <c r="H62" s="2" t="str">
        <f aca="false">IF(F62="","",CHOOSE(WEEKDAY(F62,2),"Mo","Tu","We","Th","Fr","Sa","Su"))</f>
        <v>Mo</v>
      </c>
      <c r="I62" s="2" t="n">
        <f aca="false">IF(F62="","",MONTH(F62))</f>
        <v>6</v>
      </c>
      <c r="J62" s="2" t="str">
        <f aca="false">IF(F62="","",TEXT(F62,"mmm"))</f>
        <v>Jun</v>
      </c>
      <c r="K62" s="2" t="n">
        <f aca="false">IF(F62="","",DAY(F62))</f>
        <v>14</v>
      </c>
      <c r="L62" s="46" t="n">
        <f aca="false">IF(F61="","",MIN(IF(MID($B$3,WEEKDAY(F61+1,2),1)="C",1,99),IF(MID($B$3,WEEKDAY(F61+2,2),1)="C",2,99),IF(MID($B$3,WEEKDAY(F61+3,2),1)="C",3,99),IF(MID($B$3,WEEKDAY(F61+4,2),1)="C",4,99),IF(MID($B$3,WEEKDAY(F61+5,2),1)="C",5,99),IF(MID($B$3,WEEKDAY(F61+6,2),1)="C",6,99),IF(MID($B$3,WEEKDAY(F61+7,2),1)="C",7,99)))</f>
        <v>3</v>
      </c>
    </row>
    <row r="63" customFormat="false" ht="13.8" hidden="false" customHeight="false" outlineLevel="0" collapsed="false">
      <c r="C63" s="2" t="str">
        <f aca="false">IF(F63="","",IF(ROW()=2,INT((F63-$B$1)/7)+1,IF(INT((F63-$B$1)/7)&lt;&gt;INT((F62-$B$1)/7),INT((F63-$B$1)/7)+1,"")))</f>
        <v/>
      </c>
      <c r="D63" s="2" t="str">
        <f aca="false">IF(C63="","","W"&amp;TEXT(C63,"00"))</f>
        <v/>
      </c>
      <c r="E63" s="2" t="n">
        <f aca="false">E62+1</f>
        <v>62</v>
      </c>
      <c r="F63" s="41" t="n">
        <f aca="false">IF(L63="","",IF(F62+L63&lt;=$B$2,F62+L63,""))</f>
        <v>44363</v>
      </c>
      <c r="G63" s="2" t="str">
        <f aca="false">IF(F63="","",TEXT(F63,"ddd"))</f>
        <v>Wed</v>
      </c>
      <c r="H63" s="2" t="str">
        <f aca="false">IF(F63="","",CHOOSE(WEEKDAY(F63,2),"Mo","Tu","We","Th","Fr","Sa","Su"))</f>
        <v>We</v>
      </c>
      <c r="I63" s="2" t="n">
        <f aca="false">IF(F63="","",MONTH(F63))</f>
        <v>6</v>
      </c>
      <c r="J63" s="2" t="str">
        <f aca="false">IF(F63="","",TEXT(F63,"mmm"))</f>
        <v>Jun</v>
      </c>
      <c r="K63" s="2" t="n">
        <f aca="false">IF(F63="","",DAY(F63))</f>
        <v>16</v>
      </c>
      <c r="L63" s="46" t="n">
        <f aca="false">IF(F62="","",MIN(IF(MID($B$3,WEEKDAY(F62+1,2),1)="C",1,99),IF(MID($B$3,WEEKDAY(F62+2,2),1)="C",2,99),IF(MID($B$3,WEEKDAY(F62+3,2),1)="C",3,99),IF(MID($B$3,WEEKDAY(F62+4,2),1)="C",4,99),IF(MID($B$3,WEEKDAY(F62+5,2),1)="C",5,99),IF(MID($B$3,WEEKDAY(F62+6,2),1)="C",6,99),IF(MID($B$3,WEEKDAY(F62+7,2),1)="C",7,99)))</f>
        <v>2</v>
      </c>
    </row>
    <row r="64" customFormat="false" ht="13.8" hidden="false" customHeight="false" outlineLevel="0" collapsed="false">
      <c r="C64" s="2" t="str">
        <f aca="false">IF(F64="","",IF(ROW()=2,INT((F64-$B$1)/7)+1,IF(INT((F64-$B$1)/7)&lt;&gt;INT((F63-$B$1)/7),INT((F64-$B$1)/7)+1,"")))</f>
        <v/>
      </c>
      <c r="D64" s="2" t="str">
        <f aca="false">IF(C64="","","W"&amp;TEXT(C64,"00"))</f>
        <v/>
      </c>
      <c r="E64" s="2" t="n">
        <f aca="false">E63+1</f>
        <v>63</v>
      </c>
      <c r="F64" s="41" t="n">
        <f aca="false">IF(L64="","",IF(F63+L64&lt;=$B$2,F63+L64,""))</f>
        <v>44365</v>
      </c>
      <c r="G64" s="2" t="str">
        <f aca="false">IF(F64="","",TEXT(F64,"ddd"))</f>
        <v>Fri</v>
      </c>
      <c r="H64" s="2" t="str">
        <f aca="false">IF(F64="","",CHOOSE(WEEKDAY(F64,2),"Mo","Tu","We","Th","Fr","Sa","Su"))</f>
        <v>Fr</v>
      </c>
      <c r="I64" s="2" t="n">
        <f aca="false">IF(F64="","",MONTH(F64))</f>
        <v>6</v>
      </c>
      <c r="J64" s="2" t="str">
        <f aca="false">IF(F64="","",TEXT(F64,"mmm"))</f>
        <v>Jun</v>
      </c>
      <c r="K64" s="2" t="n">
        <f aca="false">IF(F64="","",DAY(F64))</f>
        <v>18</v>
      </c>
      <c r="L64" s="46" t="n">
        <f aca="false">IF(F63="","",MIN(IF(MID($B$3,WEEKDAY(F63+1,2),1)="C",1,99),IF(MID($B$3,WEEKDAY(F63+2,2),1)="C",2,99),IF(MID($B$3,WEEKDAY(F63+3,2),1)="C",3,99),IF(MID($B$3,WEEKDAY(F63+4,2),1)="C",4,99),IF(MID($B$3,WEEKDAY(F63+5,2),1)="C",5,99),IF(MID($B$3,WEEKDAY(F63+6,2),1)="C",6,99),IF(MID($B$3,WEEKDAY(F63+7,2),1)="C",7,99)))</f>
        <v>2</v>
      </c>
    </row>
    <row r="65" customFormat="false" ht="13.8" hidden="false" customHeight="false" outlineLevel="0" collapsed="false">
      <c r="C65" s="2" t="n">
        <f aca="false">IF(F65="","",IF(ROW()=2,INT((F65-$B$1)/7)+1,IF(INT((F65-$B$1)/7)&lt;&gt;INT((F64-$B$1)/7),INT((F65-$B$1)/7)+1,"")))</f>
        <v>22</v>
      </c>
      <c r="D65" s="2" t="str">
        <f aca="false">IF(C65="","","W"&amp;TEXT(C65,"00"))</f>
        <v>W22</v>
      </c>
      <c r="E65" s="2" t="n">
        <f aca="false">E64+1</f>
        <v>64</v>
      </c>
      <c r="F65" s="41" t="n">
        <f aca="false">IF(L65="","",IF(F64+L65&lt;=$B$2,F64+L65,""))</f>
        <v>44368</v>
      </c>
      <c r="G65" s="2" t="str">
        <f aca="false">IF(F65="","",TEXT(F65,"ddd"))</f>
        <v>Mon</v>
      </c>
      <c r="H65" s="2" t="str">
        <f aca="false">IF(F65="","",CHOOSE(WEEKDAY(F65,2),"Mo","Tu","We","Th","Fr","Sa","Su"))</f>
        <v>Mo</v>
      </c>
      <c r="I65" s="2" t="n">
        <f aca="false">IF(F65="","",MONTH(F65))</f>
        <v>6</v>
      </c>
      <c r="J65" s="2" t="str">
        <f aca="false">IF(F65="","",TEXT(F65,"mmm"))</f>
        <v>Jun</v>
      </c>
      <c r="K65" s="2" t="n">
        <f aca="false">IF(F65="","",DAY(F65))</f>
        <v>21</v>
      </c>
      <c r="L65" s="46" t="n">
        <f aca="false">IF(F64="","",MIN(IF(MID($B$3,WEEKDAY(F64+1,2),1)="C",1,99),IF(MID($B$3,WEEKDAY(F64+2,2),1)="C",2,99),IF(MID($B$3,WEEKDAY(F64+3,2),1)="C",3,99),IF(MID($B$3,WEEKDAY(F64+4,2),1)="C",4,99),IF(MID($B$3,WEEKDAY(F64+5,2),1)="C",5,99),IF(MID($B$3,WEEKDAY(F64+6,2),1)="C",6,99),IF(MID($B$3,WEEKDAY(F64+7,2),1)="C",7,99)))</f>
        <v>3</v>
      </c>
    </row>
    <row r="66" customFormat="false" ht="13.8" hidden="false" customHeight="false" outlineLevel="0" collapsed="false">
      <c r="C66" s="2" t="str">
        <f aca="false">IF(F66="","",IF(ROW()=2,INT((F66-$B$1)/7)+1,IF(INT((F66-$B$1)/7)&lt;&gt;INT((F65-$B$1)/7),INT((F66-$B$1)/7)+1,"")))</f>
        <v/>
      </c>
      <c r="D66" s="2" t="str">
        <f aca="false">IF(C66="","","W"&amp;TEXT(C66,"00"))</f>
        <v/>
      </c>
      <c r="E66" s="2" t="n">
        <f aca="false">E65+1</f>
        <v>65</v>
      </c>
      <c r="F66" s="28" t="n">
        <f aca="false">IF(L66="","",IF(F65+L66&lt;=$B$2,F65+L66,""))</f>
        <v>44370</v>
      </c>
      <c r="G66" s="1" t="str">
        <f aca="false">IF(F66="","",TEXT(F66,"ddd"))</f>
        <v>Wed</v>
      </c>
      <c r="H66" s="2" t="str">
        <f aca="false">IF(F66="","",CHOOSE(WEEKDAY(F66,2),"Mo","Tu","We","Th","Fr","Sa","Su"))</f>
        <v>We</v>
      </c>
      <c r="I66" s="2" t="n">
        <f aca="false">IF(F66="","",MONTH(F66))</f>
        <v>6</v>
      </c>
      <c r="J66" s="2" t="str">
        <f aca="false">IF(F66="","",TEXT(F66,"mmm"))</f>
        <v>Jun</v>
      </c>
      <c r="K66" s="2" t="n">
        <f aca="false">IF(F66="","",DAY(F66))</f>
        <v>23</v>
      </c>
      <c r="L66" s="46" t="n">
        <f aca="false">IF(F65="","",MIN(IF(MID($B$3,WEEKDAY(F65+1,2),1)="C",1,99),IF(MID($B$3,WEEKDAY(F65+2,2),1)="C",2,99),IF(MID($B$3,WEEKDAY(F65+3,2),1)="C",3,99),IF(MID($B$3,WEEKDAY(F65+4,2),1)="C",4,99),IF(MID($B$3,WEEKDAY(F65+5,2),1)="C",5,99),IF(MID($B$3,WEEKDAY(F65+6,2),1)="C",6,99),IF(MID($B$3,WEEKDAY(F65+7,2),1)="C",7,99)))</f>
        <v>2</v>
      </c>
    </row>
    <row r="67" customFormat="false" ht="13.8" hidden="false" customHeight="false" outlineLevel="0" collapsed="false">
      <c r="C67" s="2" t="str">
        <f aca="false">IF(F67="","",IF(ROW()=2,INT((F67-$B$1)/7)+1,IF(INT((F67-$B$1)/7)&lt;&gt;INT((F66-$B$1)/7),INT((F67-$B$1)/7)+1,"")))</f>
        <v/>
      </c>
      <c r="D67" s="2" t="str">
        <f aca="false">IF(C67="","","W"&amp;TEXT(C67,"00"))</f>
        <v/>
      </c>
      <c r="E67" s="2" t="n">
        <f aca="false">E66+1</f>
        <v>66</v>
      </c>
      <c r="F67" s="28" t="n">
        <f aca="false">IF(L67="","",IF(F66+L67&lt;=$B$2,F66+L67,""))</f>
        <v>44372</v>
      </c>
      <c r="G67" s="1" t="str">
        <f aca="false">IF(F67="","",TEXT(F67,"ddd"))</f>
        <v>Fri</v>
      </c>
      <c r="H67" s="2" t="str">
        <f aca="false">IF(F67="","",CHOOSE(WEEKDAY(F67,2),"Mo","Tu","We","Th","Fr","Sa","Su"))</f>
        <v>Fr</v>
      </c>
      <c r="I67" s="2" t="n">
        <f aca="false">IF(F67="","",MONTH(F67))</f>
        <v>6</v>
      </c>
      <c r="J67" s="2" t="str">
        <f aca="false">IF(F67="","",TEXT(F67,"mmm"))</f>
        <v>Jun</v>
      </c>
      <c r="K67" s="2" t="n">
        <f aca="false">IF(F67="","",DAY(F67))</f>
        <v>25</v>
      </c>
      <c r="L67" s="46" t="n">
        <f aca="false">IF(F66="","",MIN(IF(MID($B$3,WEEKDAY(F66+1,2),1)="C",1,99),IF(MID($B$3,WEEKDAY(F66+2,2),1)="C",2,99),IF(MID($B$3,WEEKDAY(F66+3,2),1)="C",3,99),IF(MID($B$3,WEEKDAY(F66+4,2),1)="C",4,99),IF(MID($B$3,WEEKDAY(F66+5,2),1)="C",5,99),IF(MID($B$3,WEEKDAY(F66+6,2),1)="C",6,99),IF(MID($B$3,WEEKDAY(F66+7,2),1)="C",7,99)))</f>
        <v>2</v>
      </c>
    </row>
    <row r="68" customFormat="false" ht="13.8" hidden="false" customHeight="false" outlineLevel="0" collapsed="false">
      <c r="C68" s="2" t="n">
        <f aca="false">IF(F68="","",IF(ROW()=2,INT((F68-$B$1)/7)+1,IF(INT((F68-$B$1)/7)&lt;&gt;INT((F67-$B$1)/7),INT((F68-$B$1)/7)+1,"")))</f>
        <v>23</v>
      </c>
      <c r="D68" s="2" t="str">
        <f aca="false">IF(C68="","","W"&amp;TEXT(C68,"00"))</f>
        <v>W23</v>
      </c>
      <c r="E68" s="2" t="n">
        <f aca="false">E67+1</f>
        <v>67</v>
      </c>
      <c r="F68" s="28" t="n">
        <f aca="false">IF(L68="","",IF(F67+L68&lt;=$B$2,F67+L68,""))</f>
        <v>44375</v>
      </c>
      <c r="G68" s="1" t="str">
        <f aca="false">IF(F68="","",TEXT(F68,"ddd"))</f>
        <v>Mon</v>
      </c>
      <c r="H68" s="2" t="str">
        <f aca="false">IF(F68="","",CHOOSE(WEEKDAY(F68,2),"Mo","Tu","We","Th","Fr","Sa","Su"))</f>
        <v>Mo</v>
      </c>
      <c r="I68" s="2" t="n">
        <f aca="false">IF(F68="","",MONTH(F68))</f>
        <v>6</v>
      </c>
      <c r="J68" s="2" t="str">
        <f aca="false">IF(F68="","",TEXT(F68,"mmm"))</f>
        <v>Jun</v>
      </c>
      <c r="K68" s="2" t="n">
        <f aca="false">IF(F68="","",DAY(F68))</f>
        <v>28</v>
      </c>
      <c r="L68" s="46" t="n">
        <f aca="false">IF(F67="","",MIN(IF(MID($B$3,WEEKDAY(F67+1,2),1)="C",1,99),IF(MID($B$3,WEEKDAY(F67+2,2),1)="C",2,99),IF(MID($B$3,WEEKDAY(F67+3,2),1)="C",3,99),IF(MID($B$3,WEEKDAY(F67+4,2),1)="C",4,99),IF(MID($B$3,WEEKDAY(F67+5,2),1)="C",5,99),IF(MID($B$3,WEEKDAY(F67+6,2),1)="C",6,99),IF(MID($B$3,WEEKDAY(F67+7,2),1)="C",7,99)))</f>
        <v>3</v>
      </c>
    </row>
    <row r="69" customFormat="false" ht="13.8" hidden="false" customHeight="false" outlineLevel="0" collapsed="false">
      <c r="C69" s="2" t="str">
        <f aca="false">IF(F69="","",IF(ROW()=2,INT((F69-$B$1)/7)+1,IF(INT((F69-$B$1)/7)&lt;&gt;INT((F68-$B$1)/7),INT((F69-$B$1)/7)+1,"")))</f>
        <v/>
      </c>
      <c r="D69" s="2" t="str">
        <f aca="false">IF(C69="","","W"&amp;TEXT(C69,"00"))</f>
        <v/>
      </c>
      <c r="E69" s="2" t="n">
        <f aca="false">E68+1</f>
        <v>68</v>
      </c>
      <c r="F69" s="28" t="n">
        <f aca="false">IF(L69="","",IF(F68+L69&lt;=$B$2,F68+L69,""))</f>
        <v>44377</v>
      </c>
      <c r="G69" s="1" t="str">
        <f aca="false">IF(F69="","",TEXT(F69,"ddd"))</f>
        <v>Wed</v>
      </c>
      <c r="H69" s="2" t="str">
        <f aca="false">IF(F69="","",CHOOSE(WEEKDAY(F69,2),"Mo","Tu","We","Th","Fr","Sa","Su"))</f>
        <v>We</v>
      </c>
      <c r="I69" s="2" t="n">
        <f aca="false">IF(F69="","",MONTH(F69))</f>
        <v>6</v>
      </c>
      <c r="J69" s="2" t="str">
        <f aca="false">IF(F69="","",TEXT(F69,"mmm"))</f>
        <v>Jun</v>
      </c>
      <c r="K69" s="2" t="n">
        <f aca="false">IF(F69="","",DAY(F69))</f>
        <v>30</v>
      </c>
      <c r="L69" s="46" t="n">
        <f aca="false">IF(F68="","",MIN(IF(MID($B$3,WEEKDAY(F68+1,2),1)="C",1,99),IF(MID($B$3,WEEKDAY(F68+2,2),1)="C",2,99),IF(MID($B$3,WEEKDAY(F68+3,2),1)="C",3,99),IF(MID($B$3,WEEKDAY(F68+4,2),1)="C",4,99),IF(MID($B$3,WEEKDAY(F68+5,2),1)="C",5,99),IF(MID($B$3,WEEKDAY(F68+6,2),1)="C",6,99),IF(MID($B$3,WEEKDAY(F68+7,2),1)="C",7,99)))</f>
        <v>2</v>
      </c>
    </row>
    <row r="70" customFormat="false" ht="13.8" hidden="false" customHeight="false" outlineLevel="0" collapsed="false">
      <c r="C70" s="2" t="str">
        <f aca="false">IF(F70="","",IF(ROW()=2,INT((F70-$B$1)/7)+1,IF(INT((F70-$B$1)/7)&lt;&gt;INT((F69-$B$1)/7),INT((F70-$B$1)/7)+1,"")))</f>
        <v/>
      </c>
      <c r="D70" s="2" t="str">
        <f aca="false">IF(C70="","","W"&amp;TEXT(C70,"00"))</f>
        <v/>
      </c>
      <c r="E70" s="2" t="n">
        <f aca="false">E69+1</f>
        <v>69</v>
      </c>
      <c r="F70" s="28" t="n">
        <f aca="false">IF(L70="","",IF(F69+L70&lt;=$B$2,F69+L70,""))</f>
        <v>44379</v>
      </c>
      <c r="G70" s="1" t="str">
        <f aca="false">IF(F70="","",TEXT(F70,"ddd"))</f>
        <v>Fri</v>
      </c>
      <c r="H70" s="2" t="str">
        <f aca="false">IF(F70="","",CHOOSE(WEEKDAY(F70,2),"Mo","Tu","We","Th","Fr","Sa","Su"))</f>
        <v>Fr</v>
      </c>
      <c r="I70" s="2" t="n">
        <f aca="false">IF(F70="","",MONTH(F70))</f>
        <v>7</v>
      </c>
      <c r="J70" s="2" t="str">
        <f aca="false">IF(F70="","",TEXT(F70,"mmm"))</f>
        <v>Jul</v>
      </c>
      <c r="K70" s="2" t="n">
        <f aca="false">IF(F70="","",DAY(F70))</f>
        <v>2</v>
      </c>
      <c r="L70" s="46" t="n">
        <f aca="false">IF(F69="","",MIN(IF(MID($B$3,WEEKDAY(F69+1,2),1)="C",1,99),IF(MID($B$3,WEEKDAY(F69+2,2),1)="C",2,99),IF(MID($B$3,WEEKDAY(F69+3,2),1)="C",3,99),IF(MID($B$3,WEEKDAY(F69+4,2),1)="C",4,99),IF(MID($B$3,WEEKDAY(F69+5,2),1)="C",5,99),IF(MID($B$3,WEEKDAY(F69+6,2),1)="C",6,99),IF(MID($B$3,WEEKDAY(F69+7,2),1)="C",7,99)))</f>
        <v>2</v>
      </c>
    </row>
    <row r="71" customFormat="false" ht="13.8" hidden="false" customHeight="false" outlineLevel="0" collapsed="false">
      <c r="C71" s="2" t="n">
        <f aca="false">IF(F71="","",IF(ROW()=2,INT((F71-$B$1)/7)+1,IF(INT((F71-$B$1)/7)&lt;&gt;INT((F70-$B$1)/7),INT((F71-$B$1)/7)+1,"")))</f>
        <v>24</v>
      </c>
      <c r="D71" s="2" t="str">
        <f aca="false">IF(C71="","","W"&amp;TEXT(C71,"00"))</f>
        <v>W24</v>
      </c>
      <c r="E71" s="2" t="n">
        <f aca="false">E70+1</f>
        <v>70</v>
      </c>
      <c r="F71" s="28" t="n">
        <f aca="false">IF(L71="","",IF(F70+L71&lt;=$B$2,F70+L71,""))</f>
        <v>44382</v>
      </c>
      <c r="G71" s="1" t="str">
        <f aca="false">IF(F71="","",TEXT(F71,"ddd"))</f>
        <v>Mon</v>
      </c>
      <c r="H71" s="2" t="str">
        <f aca="false">IF(F71="","",CHOOSE(WEEKDAY(F71,2),"Mo","Tu","We","Th","Fr","Sa","Su"))</f>
        <v>Mo</v>
      </c>
      <c r="I71" s="2" t="n">
        <f aca="false">IF(F71="","",MONTH(F71))</f>
        <v>7</v>
      </c>
      <c r="J71" s="2" t="str">
        <f aca="false">IF(F71="","",TEXT(F71,"mmm"))</f>
        <v>Jul</v>
      </c>
      <c r="K71" s="2" t="n">
        <f aca="false">IF(F71="","",DAY(F71))</f>
        <v>5</v>
      </c>
      <c r="L71" s="46" t="n">
        <f aca="false">IF(F70="","",MIN(IF(MID($B$3,WEEKDAY(F70+1,2),1)="C",1,99),IF(MID($B$3,WEEKDAY(F70+2,2),1)="C",2,99),IF(MID($B$3,WEEKDAY(F70+3,2),1)="C",3,99),IF(MID($B$3,WEEKDAY(F70+4,2),1)="C",4,99),IF(MID($B$3,WEEKDAY(F70+5,2),1)="C",5,99),IF(MID($B$3,WEEKDAY(F70+6,2),1)="C",6,99),IF(MID($B$3,WEEKDAY(F70+7,2),1)="C",7,99)))</f>
        <v>3</v>
      </c>
    </row>
    <row r="72" customFormat="false" ht="13.8" hidden="false" customHeight="false" outlineLevel="0" collapsed="false">
      <c r="C72" s="2" t="str">
        <f aca="false">IF(F72="","",IF(ROW()=2,INT((F72-$B$1)/7)+1,IF(INT((F72-$B$1)/7)&lt;&gt;INT((F71-$B$1)/7),INT((F72-$B$1)/7)+1,"")))</f>
        <v/>
      </c>
      <c r="D72" s="2" t="str">
        <f aca="false">IF(C72="","","W"&amp;TEXT(C72,"00"))</f>
        <v/>
      </c>
      <c r="E72" s="2" t="n">
        <f aca="false">E71+1</f>
        <v>71</v>
      </c>
      <c r="F72" s="28" t="n">
        <f aca="false">IF(L72="","",IF(F71+L72&lt;=$B$2,F71+L72,""))</f>
        <v>44384</v>
      </c>
      <c r="G72" s="1" t="str">
        <f aca="false">IF(F72="","",TEXT(F72,"ddd"))</f>
        <v>Wed</v>
      </c>
      <c r="H72" s="2" t="str">
        <f aca="false">IF(F72="","",CHOOSE(WEEKDAY(F72,2),"Mo","Tu","We","Th","Fr","Sa","Su"))</f>
        <v>We</v>
      </c>
      <c r="I72" s="2" t="n">
        <f aca="false">IF(F72="","",MONTH(F72))</f>
        <v>7</v>
      </c>
      <c r="J72" s="2" t="str">
        <f aca="false">IF(F72="","",TEXT(F72,"mmm"))</f>
        <v>Jul</v>
      </c>
      <c r="K72" s="2" t="n">
        <f aca="false">IF(F72="","",DAY(F72))</f>
        <v>7</v>
      </c>
      <c r="L72" s="46" t="n">
        <f aca="false">IF(F71="","",MIN(IF(MID($B$3,WEEKDAY(F71+1,2),1)="C",1,99),IF(MID($B$3,WEEKDAY(F71+2,2),1)="C",2,99),IF(MID($B$3,WEEKDAY(F71+3,2),1)="C",3,99),IF(MID($B$3,WEEKDAY(F71+4,2),1)="C",4,99),IF(MID($B$3,WEEKDAY(F71+5,2),1)="C",5,99),IF(MID($B$3,WEEKDAY(F71+6,2),1)="C",6,99),IF(MID($B$3,WEEKDAY(F71+7,2),1)="C",7,99)))</f>
        <v>2</v>
      </c>
    </row>
    <row r="73" customFormat="false" ht="13.8" hidden="false" customHeight="false" outlineLevel="0" collapsed="false">
      <c r="C73" s="2" t="str">
        <f aca="false">IF(F73="","",IF(ROW()=2,INT((F73-$B$1)/7)+1,IF(INT((F73-$B$1)/7)&lt;&gt;INT((F72-$B$1)/7),INT((F73-$B$1)/7)+1,"")))</f>
        <v/>
      </c>
      <c r="D73" s="2" t="str">
        <f aca="false">IF(C73="","","W"&amp;TEXT(C73,"00"))</f>
        <v/>
      </c>
      <c r="E73" s="2" t="n">
        <f aca="false">E72+1</f>
        <v>72</v>
      </c>
      <c r="F73" s="28" t="n">
        <f aca="false">IF(L73="","",IF(F72+L73&lt;=$B$2,F72+L73,""))</f>
        <v>44386</v>
      </c>
      <c r="G73" s="1" t="str">
        <f aca="false">IF(F73="","",TEXT(F73,"ddd"))</f>
        <v>Fri</v>
      </c>
      <c r="H73" s="2" t="str">
        <f aca="false">IF(F73="","",CHOOSE(WEEKDAY(F73,2),"Mo","Tu","We","Th","Fr","Sa","Su"))</f>
        <v>Fr</v>
      </c>
      <c r="I73" s="2" t="n">
        <f aca="false">IF(F73="","",MONTH(F73))</f>
        <v>7</v>
      </c>
      <c r="J73" s="2" t="str">
        <f aca="false">IF(F73="","",TEXT(F73,"mmm"))</f>
        <v>Jul</v>
      </c>
      <c r="K73" s="2" t="n">
        <f aca="false">IF(F73="","",DAY(F73))</f>
        <v>9</v>
      </c>
      <c r="L73" s="46" t="n">
        <f aca="false">IF(F72="","",MIN(IF(MID($B$3,WEEKDAY(F72+1,2),1)="C",1,99),IF(MID($B$3,WEEKDAY(F72+2,2),1)="C",2,99),IF(MID($B$3,WEEKDAY(F72+3,2),1)="C",3,99),IF(MID($B$3,WEEKDAY(F72+4,2),1)="C",4,99),IF(MID($B$3,WEEKDAY(F72+5,2),1)="C",5,99),IF(MID($B$3,WEEKDAY(F72+6,2),1)="C",6,99),IF(MID($B$3,WEEKDAY(F72+7,2),1)="C",7,99)))</f>
        <v>2</v>
      </c>
    </row>
    <row r="74" customFormat="false" ht="13.8" hidden="false" customHeight="false" outlineLevel="0" collapsed="false">
      <c r="C74" s="2" t="n">
        <f aca="false">IF(F74="","",IF(ROW()=2,INT((F74-$B$1)/7)+1,IF(INT((F74-$B$1)/7)&lt;&gt;INT((F73-$B$1)/7),INT((F74-$B$1)/7)+1,"")))</f>
        <v>25</v>
      </c>
      <c r="D74" s="2" t="str">
        <f aca="false">IF(C74="","","W"&amp;TEXT(C74,"00"))</f>
        <v>W25</v>
      </c>
      <c r="E74" s="2" t="n">
        <f aca="false">E73+1</f>
        <v>73</v>
      </c>
      <c r="F74" s="28" t="n">
        <f aca="false">IF(L74="","",IF(F73+L74&lt;=$B$2,F73+L74,""))</f>
        <v>44389</v>
      </c>
      <c r="G74" s="1" t="str">
        <f aca="false">IF(F74="","",TEXT(F74,"ddd"))</f>
        <v>Mon</v>
      </c>
      <c r="H74" s="2" t="str">
        <f aca="false">IF(F74="","",CHOOSE(WEEKDAY(F74,2),"Mo","Tu","We","Th","Fr","Sa","Su"))</f>
        <v>Mo</v>
      </c>
      <c r="I74" s="2" t="n">
        <f aca="false">IF(F74="","",MONTH(F74))</f>
        <v>7</v>
      </c>
      <c r="J74" s="2" t="str">
        <f aca="false">IF(F74="","",TEXT(F74,"mmm"))</f>
        <v>Jul</v>
      </c>
      <c r="K74" s="2" t="n">
        <f aca="false">IF(F74="","",DAY(F74))</f>
        <v>12</v>
      </c>
      <c r="L74" s="46" t="n">
        <f aca="false">IF(F73="","",MIN(IF(MID($B$3,WEEKDAY(F73+1,2),1)="C",1,99),IF(MID($B$3,WEEKDAY(F73+2,2),1)="C",2,99),IF(MID($B$3,WEEKDAY(F73+3,2),1)="C",3,99),IF(MID($B$3,WEEKDAY(F73+4,2),1)="C",4,99),IF(MID($B$3,WEEKDAY(F73+5,2),1)="C",5,99),IF(MID($B$3,WEEKDAY(F73+6,2),1)="C",6,99),IF(MID($B$3,WEEKDAY(F73+7,2),1)="C",7,99)))</f>
        <v>3</v>
      </c>
    </row>
    <row r="75" customFormat="false" ht="13.8" hidden="false" customHeight="false" outlineLevel="0" collapsed="false">
      <c r="C75" s="2" t="str">
        <f aca="false">IF(F75="","",IF(ROW()=2,INT((F75-$B$1)/7)+1,IF(INT((F75-$B$1)/7)&lt;&gt;INT((F74-$B$1)/7),INT((F75-$B$1)/7)+1,"")))</f>
        <v/>
      </c>
      <c r="D75" s="2" t="str">
        <f aca="false">IF(C75="","","W"&amp;TEXT(C75,"00"))</f>
        <v/>
      </c>
      <c r="E75" s="2" t="n">
        <f aca="false">E74+1</f>
        <v>74</v>
      </c>
      <c r="F75" s="28" t="n">
        <f aca="false">IF(L75="","",IF(F74+L75&lt;=$B$2,F74+L75,""))</f>
        <v>44391</v>
      </c>
      <c r="G75" s="1" t="str">
        <f aca="false">IF(F75="","",TEXT(F75,"ddd"))</f>
        <v>Wed</v>
      </c>
      <c r="H75" s="2" t="str">
        <f aca="false">IF(F75="","",CHOOSE(WEEKDAY(F75,2),"Mo","Tu","We","Th","Fr","Sa","Su"))</f>
        <v>We</v>
      </c>
      <c r="I75" s="2" t="n">
        <f aca="false">IF(F75="","",MONTH(F75))</f>
        <v>7</v>
      </c>
      <c r="J75" s="2" t="str">
        <f aca="false">IF(F75="","",TEXT(F75,"mmm"))</f>
        <v>Jul</v>
      </c>
      <c r="K75" s="2" t="n">
        <f aca="false">IF(F75="","",DAY(F75))</f>
        <v>14</v>
      </c>
      <c r="L75" s="46" t="n">
        <f aca="false">IF(F74="","",MIN(IF(MID($B$3,WEEKDAY(F74+1,2),1)="C",1,99),IF(MID($B$3,WEEKDAY(F74+2,2),1)="C",2,99),IF(MID($B$3,WEEKDAY(F74+3,2),1)="C",3,99),IF(MID($B$3,WEEKDAY(F74+4,2),1)="C",4,99),IF(MID($B$3,WEEKDAY(F74+5,2),1)="C",5,99),IF(MID($B$3,WEEKDAY(F74+6,2),1)="C",6,99),IF(MID($B$3,WEEKDAY(F74+7,2),1)="C",7,99)))</f>
        <v>2</v>
      </c>
    </row>
    <row r="76" customFormat="false" ht="13.8" hidden="false" customHeight="false" outlineLevel="0" collapsed="false">
      <c r="C76" s="2" t="str">
        <f aca="false">IF(F76="","",IF(ROW()=2,INT((F76-$B$1)/7)+1,IF(INT((F76-$B$1)/7)&lt;&gt;INT((F75-$B$1)/7),INT((F76-$B$1)/7)+1,"")))</f>
        <v/>
      </c>
      <c r="D76" s="2" t="str">
        <f aca="false">IF(C76="","","W"&amp;TEXT(C76,"00"))</f>
        <v/>
      </c>
      <c r="E76" s="2" t="n">
        <f aca="false">E75+1</f>
        <v>75</v>
      </c>
      <c r="F76" s="28" t="n">
        <f aca="false">IF(L76="","",IF(F75+L76&lt;=$B$2,F75+L76,""))</f>
        <v>44393</v>
      </c>
      <c r="G76" s="1" t="str">
        <f aca="false">IF(F76="","",TEXT(F76,"ddd"))</f>
        <v>Fri</v>
      </c>
      <c r="H76" s="2" t="str">
        <f aca="false">IF(F76="","",CHOOSE(WEEKDAY(F76,2),"Mo","Tu","We","Th","Fr","Sa","Su"))</f>
        <v>Fr</v>
      </c>
      <c r="I76" s="2" t="n">
        <f aca="false">IF(F76="","",MONTH(F76))</f>
        <v>7</v>
      </c>
      <c r="J76" s="2" t="str">
        <f aca="false">IF(F76="","",TEXT(F76,"mmm"))</f>
        <v>Jul</v>
      </c>
      <c r="K76" s="2" t="n">
        <f aca="false">IF(F76="","",DAY(F76))</f>
        <v>16</v>
      </c>
      <c r="L76" s="46" t="n">
        <f aca="false">IF(F75="","",MIN(IF(MID($B$3,WEEKDAY(F75+1,2),1)="C",1,99),IF(MID($B$3,WEEKDAY(F75+2,2),1)="C",2,99),IF(MID($B$3,WEEKDAY(F75+3,2),1)="C",3,99),IF(MID($B$3,WEEKDAY(F75+4,2),1)="C",4,99),IF(MID($B$3,WEEKDAY(F75+5,2),1)="C",5,99),IF(MID($B$3,WEEKDAY(F75+6,2),1)="C",6,99),IF(MID($B$3,WEEKDAY(F75+7,2),1)="C",7,99)))</f>
        <v>2</v>
      </c>
    </row>
    <row r="77" customFormat="false" ht="13.8" hidden="false" customHeight="false" outlineLevel="0" collapsed="false">
      <c r="C77" s="2" t="n">
        <f aca="false">IF(F77="","",IF(ROW()=2,INT((F77-$B$1)/7)+1,IF(INT((F77-$B$1)/7)&lt;&gt;INT((F76-$B$1)/7),INT((F77-$B$1)/7)+1,"")))</f>
        <v>26</v>
      </c>
      <c r="D77" s="2" t="str">
        <f aca="false">IF(C77="","","W"&amp;TEXT(C77,"00"))</f>
        <v>W26</v>
      </c>
      <c r="E77" s="2" t="n">
        <f aca="false">E76+1</f>
        <v>76</v>
      </c>
      <c r="F77" s="28" t="n">
        <f aca="false">IF(L77="","",IF(F76+L77&lt;=$B$2,F76+L77,""))</f>
        <v>44396</v>
      </c>
      <c r="G77" s="1" t="str">
        <f aca="false">IF(F77="","",TEXT(F77,"ddd"))</f>
        <v>Mon</v>
      </c>
      <c r="H77" s="2" t="str">
        <f aca="false">IF(F77="","",CHOOSE(WEEKDAY(F77,2),"Mo","Tu","We","Th","Fr","Sa","Su"))</f>
        <v>Mo</v>
      </c>
      <c r="I77" s="2" t="n">
        <f aca="false">IF(F77="","",MONTH(F77))</f>
        <v>7</v>
      </c>
      <c r="J77" s="2" t="str">
        <f aca="false">IF(F77="","",TEXT(F77,"mmm"))</f>
        <v>Jul</v>
      </c>
      <c r="K77" s="2" t="n">
        <f aca="false">IF(F77="","",DAY(F77))</f>
        <v>19</v>
      </c>
      <c r="L77" s="46" t="n">
        <f aca="false">IF(F76="","",MIN(IF(MID($B$3,WEEKDAY(F76+1,2),1)="C",1,99),IF(MID($B$3,WEEKDAY(F76+2,2),1)="C",2,99),IF(MID($B$3,WEEKDAY(F76+3,2),1)="C",3,99),IF(MID($B$3,WEEKDAY(F76+4,2),1)="C",4,99),IF(MID($B$3,WEEKDAY(F76+5,2),1)="C",5,99),IF(MID($B$3,WEEKDAY(F76+6,2),1)="C",6,99),IF(MID($B$3,WEEKDAY(F76+7,2),1)="C",7,99)))</f>
        <v>3</v>
      </c>
    </row>
    <row r="78" customFormat="false" ht="13.8" hidden="false" customHeight="false" outlineLevel="0" collapsed="false">
      <c r="C78" s="2" t="str">
        <f aca="false">IF(F78="","",IF(ROW()=2,INT((F78-$B$1)/7)+1,IF(INT((F78-$B$1)/7)&lt;&gt;INT((F77-$B$1)/7),INT((F78-$B$1)/7)+1,"")))</f>
        <v/>
      </c>
      <c r="D78" s="2" t="str">
        <f aca="false">IF(C78="","","W"&amp;TEXT(C78,"00"))</f>
        <v/>
      </c>
      <c r="E78" s="2" t="n">
        <f aca="false">E77+1</f>
        <v>77</v>
      </c>
      <c r="F78" s="28" t="n">
        <f aca="false">IF(L78="","",IF(F77+L78&lt;=$B$2,F77+L78,""))</f>
        <v>44398</v>
      </c>
      <c r="G78" s="1" t="str">
        <f aca="false">IF(F78="","",TEXT(F78,"ddd"))</f>
        <v>Wed</v>
      </c>
      <c r="H78" s="2" t="str">
        <f aca="false">IF(F78="","",CHOOSE(WEEKDAY(F78,2),"Mo","Tu","We","Th","Fr","Sa","Su"))</f>
        <v>We</v>
      </c>
      <c r="I78" s="2" t="n">
        <f aca="false">IF(F78="","",MONTH(F78))</f>
        <v>7</v>
      </c>
      <c r="J78" s="2" t="str">
        <f aca="false">IF(F78="","",TEXT(F78,"mmm"))</f>
        <v>Jul</v>
      </c>
      <c r="K78" s="2" t="n">
        <f aca="false">IF(F78="","",DAY(F78))</f>
        <v>21</v>
      </c>
      <c r="L78" s="46" t="n">
        <f aca="false">IF(F77="","",MIN(IF(MID($B$3,WEEKDAY(F77+1,2),1)="C",1,99),IF(MID($B$3,WEEKDAY(F77+2,2),1)="C",2,99),IF(MID($B$3,WEEKDAY(F77+3,2),1)="C",3,99),IF(MID($B$3,WEEKDAY(F77+4,2),1)="C",4,99),IF(MID($B$3,WEEKDAY(F77+5,2),1)="C",5,99),IF(MID($B$3,WEEKDAY(F77+6,2),1)="C",6,99),IF(MID($B$3,WEEKDAY(F77+7,2),1)="C",7,99)))</f>
        <v>2</v>
      </c>
    </row>
    <row r="79" customFormat="false" ht="13.8" hidden="false" customHeight="false" outlineLevel="0" collapsed="false">
      <c r="C79" s="2" t="str">
        <f aca="false">IF(F79="","",IF(ROW()=2,INT((F79-$B$1)/7)+1,IF(INT((F79-$B$1)/7)&lt;&gt;INT((F78-$B$1)/7),INT((F79-$B$1)/7)+1,"")))</f>
        <v/>
      </c>
      <c r="D79" s="2" t="str">
        <f aca="false">IF(C79="","","W"&amp;TEXT(C79,"00"))</f>
        <v/>
      </c>
      <c r="E79" s="2" t="n">
        <f aca="false">E78+1</f>
        <v>78</v>
      </c>
      <c r="F79" s="28" t="n">
        <f aca="false">IF(L79="","",IF(F78+L79&lt;=$B$2,F78+L79,""))</f>
        <v>44400</v>
      </c>
      <c r="G79" s="1" t="str">
        <f aca="false">IF(F79="","",TEXT(F79,"ddd"))</f>
        <v>Fri</v>
      </c>
      <c r="H79" s="2" t="str">
        <f aca="false">IF(F79="","",CHOOSE(WEEKDAY(F79,2),"Mo","Tu","We","Th","Fr","Sa","Su"))</f>
        <v>Fr</v>
      </c>
      <c r="I79" s="2" t="n">
        <f aca="false">IF(F79="","",MONTH(F79))</f>
        <v>7</v>
      </c>
      <c r="J79" s="2" t="str">
        <f aca="false">IF(F79="","",TEXT(F79,"mmm"))</f>
        <v>Jul</v>
      </c>
      <c r="K79" s="2" t="n">
        <f aca="false">IF(F79="","",DAY(F79))</f>
        <v>23</v>
      </c>
      <c r="L79" s="46" t="n">
        <f aca="false">IF(F78="","",MIN(IF(MID($B$3,WEEKDAY(F78+1,2),1)="C",1,99),IF(MID($B$3,WEEKDAY(F78+2,2),1)="C",2,99),IF(MID($B$3,WEEKDAY(F78+3,2),1)="C",3,99),IF(MID($B$3,WEEKDAY(F78+4,2),1)="C",4,99),IF(MID($B$3,WEEKDAY(F78+5,2),1)="C",5,99),IF(MID($B$3,WEEKDAY(F78+6,2),1)="C",6,99),IF(MID($B$3,WEEKDAY(F78+7,2),1)="C",7,99)))</f>
        <v>2</v>
      </c>
    </row>
    <row r="80" customFormat="false" ht="13.8" hidden="false" customHeight="false" outlineLevel="0" collapsed="false">
      <c r="C80" s="2" t="n">
        <f aca="false">IF(F80="","",IF(ROW()=2,INT((F80-$B$1)/7)+1,IF(INT((F80-$B$1)/7)&lt;&gt;INT((F79-$B$1)/7),INT((F80-$B$1)/7)+1,"")))</f>
        <v>27</v>
      </c>
      <c r="D80" s="2" t="str">
        <f aca="false">IF(C80="","","W"&amp;TEXT(C80,"00"))</f>
        <v>W27</v>
      </c>
      <c r="E80" s="2" t="n">
        <f aca="false">E79+1</f>
        <v>79</v>
      </c>
      <c r="F80" s="28" t="n">
        <f aca="false">IF(L80="","",IF(F79+L80&lt;=$B$2,F79+L80,""))</f>
        <v>44403</v>
      </c>
      <c r="G80" s="1" t="str">
        <f aca="false">IF(F80="","",TEXT(F80,"ddd"))</f>
        <v>Mon</v>
      </c>
      <c r="H80" s="2" t="str">
        <f aca="false">IF(F80="","",CHOOSE(WEEKDAY(F80,2),"Mo","Tu","We","Th","Fr","Sa","Su"))</f>
        <v>Mo</v>
      </c>
      <c r="I80" s="2" t="n">
        <f aca="false">IF(F80="","",MONTH(F80))</f>
        <v>7</v>
      </c>
      <c r="J80" s="2" t="str">
        <f aca="false">IF(F80="","",TEXT(F80,"mmm"))</f>
        <v>Jul</v>
      </c>
      <c r="K80" s="2" t="n">
        <f aca="false">IF(F80="","",DAY(F80))</f>
        <v>26</v>
      </c>
      <c r="L80" s="46" t="n">
        <f aca="false">IF(F79="","",MIN(IF(MID($B$3,WEEKDAY(F79+1,2),1)="C",1,99),IF(MID($B$3,WEEKDAY(F79+2,2),1)="C",2,99),IF(MID($B$3,WEEKDAY(F79+3,2),1)="C",3,99),IF(MID($B$3,WEEKDAY(F79+4,2),1)="C",4,99),IF(MID($B$3,WEEKDAY(F79+5,2),1)="C",5,99),IF(MID($B$3,WEEKDAY(F79+6,2),1)="C",6,99),IF(MID($B$3,WEEKDAY(F79+7,2),1)="C",7,99)))</f>
        <v>3</v>
      </c>
    </row>
    <row r="81" customFormat="false" ht="13.8" hidden="false" customHeight="false" outlineLevel="0" collapsed="false">
      <c r="C81" s="2" t="str">
        <f aca="false">IF(F81="","",IF(ROW()=2,INT((F81-$B$1)/7)+1,IF(INT((F81-$B$1)/7)&lt;&gt;INT((F80-$B$1)/7),INT((F81-$B$1)/7)+1,"")))</f>
        <v/>
      </c>
      <c r="D81" s="2" t="str">
        <f aca="false">IF(C81="","","W"&amp;TEXT(C81,"00"))</f>
        <v/>
      </c>
      <c r="E81" s="2" t="n">
        <f aca="false">E80+1</f>
        <v>80</v>
      </c>
      <c r="F81" s="28" t="n">
        <f aca="false">IF(L81="","",IF(F80+L81&lt;=$B$2,F80+L81,""))</f>
        <v>44405</v>
      </c>
      <c r="G81" s="1" t="str">
        <f aca="false">IF(F81="","",TEXT(F81,"ddd"))</f>
        <v>Wed</v>
      </c>
      <c r="H81" s="2" t="str">
        <f aca="false">IF(F81="","",CHOOSE(WEEKDAY(F81,2),"Mo","Tu","We","Th","Fr","Sa","Su"))</f>
        <v>We</v>
      </c>
      <c r="I81" s="2" t="n">
        <f aca="false">IF(F81="","",MONTH(F81))</f>
        <v>7</v>
      </c>
      <c r="J81" s="2" t="str">
        <f aca="false">IF(F81="","",TEXT(F81,"mmm"))</f>
        <v>Jul</v>
      </c>
      <c r="K81" s="2" t="n">
        <f aca="false">IF(F81="","",DAY(F81))</f>
        <v>28</v>
      </c>
      <c r="L81" s="46" t="n">
        <f aca="false">IF(F80="","",MIN(IF(MID($B$3,WEEKDAY(F80+1,2),1)="C",1,99),IF(MID($B$3,WEEKDAY(F80+2,2),1)="C",2,99),IF(MID($B$3,WEEKDAY(F80+3,2),1)="C",3,99),IF(MID($B$3,WEEKDAY(F80+4,2),1)="C",4,99),IF(MID($B$3,WEEKDAY(F80+5,2),1)="C",5,99),IF(MID($B$3,WEEKDAY(F80+6,2),1)="C",6,99),IF(MID($B$3,WEEKDAY(F80+7,2),1)="C",7,99)))</f>
        <v>2</v>
      </c>
    </row>
    <row r="82" customFormat="false" ht="13.8" hidden="false" customHeight="false" outlineLevel="0" collapsed="false">
      <c r="C82" s="2" t="str">
        <f aca="false">IF(F82="","",IF(ROW()=2,INT((F82-$B$1)/7)+1,IF(INT((F82-$B$1)/7)&lt;&gt;INT((F81-$B$1)/7),INT((F82-$B$1)/7)+1,"")))</f>
        <v/>
      </c>
      <c r="D82" s="2" t="str">
        <f aca="false">IF(C82="","","W"&amp;TEXT(C82,"00"))</f>
        <v/>
      </c>
      <c r="E82" s="2" t="n">
        <f aca="false">E81+1</f>
        <v>81</v>
      </c>
      <c r="F82" s="28" t="n">
        <f aca="false">IF(L82="","",IF(F81+L82&lt;=$B$2,F81+L82,""))</f>
        <v>44407</v>
      </c>
      <c r="G82" s="1" t="str">
        <f aca="false">IF(F82="","",TEXT(F82,"ddd"))</f>
        <v>Fri</v>
      </c>
      <c r="H82" s="2" t="str">
        <f aca="false">IF(F82="","",CHOOSE(WEEKDAY(F82,2),"Mo","Tu","We","Th","Fr","Sa","Su"))</f>
        <v>Fr</v>
      </c>
      <c r="I82" s="2" t="n">
        <f aca="false">IF(F82="","",MONTH(F82))</f>
        <v>7</v>
      </c>
      <c r="J82" s="2" t="str">
        <f aca="false">IF(F82="","",TEXT(F82,"mmm"))</f>
        <v>Jul</v>
      </c>
      <c r="K82" s="2" t="n">
        <f aca="false">IF(F82="","",DAY(F82))</f>
        <v>30</v>
      </c>
      <c r="L82" s="46" t="n">
        <f aca="false">IF(F81="","",MIN(IF(MID($B$3,WEEKDAY(F81+1,2),1)="C",1,99),IF(MID($B$3,WEEKDAY(F81+2,2),1)="C",2,99),IF(MID($B$3,WEEKDAY(F81+3,2),1)="C",3,99),IF(MID($B$3,WEEKDAY(F81+4,2),1)="C",4,99),IF(MID($B$3,WEEKDAY(F81+5,2),1)="C",5,99),IF(MID($B$3,WEEKDAY(F81+6,2),1)="C",6,99),IF(MID($B$3,WEEKDAY(F81+7,2),1)="C",7,99)))</f>
        <v>2</v>
      </c>
    </row>
    <row r="83" customFormat="false" ht="13.8" hidden="false" customHeight="false" outlineLevel="0" collapsed="false">
      <c r="C83" s="2" t="n">
        <f aca="false">IF(F83="","",IF(ROW()=2,INT((F83-$B$1)/7)+1,IF(INT((F83-$B$1)/7)&lt;&gt;INT((F82-$B$1)/7),INT((F83-$B$1)/7)+1,"")))</f>
        <v>28</v>
      </c>
      <c r="D83" s="2" t="str">
        <f aca="false">IF(C83="","","W"&amp;TEXT(C83,"00"))</f>
        <v>W28</v>
      </c>
      <c r="E83" s="2" t="n">
        <f aca="false">E82+1</f>
        <v>82</v>
      </c>
      <c r="F83" s="28" t="n">
        <f aca="false">IF(L83="","",IF(F82+L83&lt;=$B$2,F82+L83,""))</f>
        <v>44410</v>
      </c>
      <c r="G83" s="1" t="str">
        <f aca="false">IF(F83="","",TEXT(F83,"ddd"))</f>
        <v>Mon</v>
      </c>
      <c r="H83" s="2" t="str">
        <f aca="false">IF(F83="","",CHOOSE(WEEKDAY(F83,2),"Mo","Tu","We","Th","Fr","Sa","Su"))</f>
        <v>Mo</v>
      </c>
      <c r="I83" s="2" t="n">
        <f aca="false">IF(F83="","",MONTH(F83))</f>
        <v>8</v>
      </c>
      <c r="J83" s="2" t="str">
        <f aca="false">IF(F83="","",TEXT(F83,"mmm"))</f>
        <v>Aug</v>
      </c>
      <c r="K83" s="2" t="n">
        <f aca="false">IF(F83="","",DAY(F83))</f>
        <v>2</v>
      </c>
      <c r="L83" s="46" t="n">
        <f aca="false">IF(F82="","",MIN(IF(MID($B$3,WEEKDAY(F82+1,2),1)="C",1,99),IF(MID($B$3,WEEKDAY(F82+2,2),1)="C",2,99),IF(MID($B$3,WEEKDAY(F82+3,2),1)="C",3,99),IF(MID($B$3,WEEKDAY(F82+4,2),1)="C",4,99),IF(MID($B$3,WEEKDAY(F82+5,2),1)="C",5,99),IF(MID($B$3,WEEKDAY(F82+6,2),1)="C",6,99),IF(MID($B$3,WEEKDAY(F82+7,2),1)="C",7,99)))</f>
        <v>3</v>
      </c>
    </row>
    <row r="84" customFormat="false" ht="13.8" hidden="false" customHeight="false" outlineLevel="0" collapsed="false">
      <c r="C84" s="2" t="str">
        <f aca="false">IF(F84="","",IF(ROW()=2,INT((F84-$B$1)/7)+1,IF(INT((F84-$B$1)/7)&lt;&gt;INT((F83-$B$1)/7),INT((F84-$B$1)/7)+1,"")))</f>
        <v/>
      </c>
      <c r="D84" s="2" t="str">
        <f aca="false">IF(C84="","","W"&amp;TEXT(C84,"00"))</f>
        <v/>
      </c>
      <c r="E84" s="2" t="n">
        <f aca="false">E83+1</f>
        <v>83</v>
      </c>
      <c r="F84" s="28" t="n">
        <f aca="false">IF(L84="","",IF(F83+L84&lt;=$B$2,F83+L84,""))</f>
        <v>44412</v>
      </c>
      <c r="G84" s="1" t="str">
        <f aca="false">IF(F84="","",TEXT(F84,"ddd"))</f>
        <v>Wed</v>
      </c>
      <c r="H84" s="2" t="str">
        <f aca="false">IF(F84="","",CHOOSE(WEEKDAY(F84,2),"Mo","Tu","We","Th","Fr","Sa","Su"))</f>
        <v>We</v>
      </c>
      <c r="I84" s="2" t="n">
        <f aca="false">IF(F84="","",MONTH(F84))</f>
        <v>8</v>
      </c>
      <c r="J84" s="2" t="str">
        <f aca="false">IF(F84="","",TEXT(F84,"mmm"))</f>
        <v>Aug</v>
      </c>
      <c r="K84" s="2" t="n">
        <f aca="false">IF(F84="","",DAY(F84))</f>
        <v>4</v>
      </c>
      <c r="L84" s="46" t="n">
        <f aca="false">IF(F83="","",MIN(IF(MID($B$3,WEEKDAY(F83+1,2),1)="C",1,99),IF(MID($B$3,WEEKDAY(F83+2,2),1)="C",2,99),IF(MID($B$3,WEEKDAY(F83+3,2),1)="C",3,99),IF(MID($B$3,WEEKDAY(F83+4,2),1)="C",4,99),IF(MID($B$3,WEEKDAY(F83+5,2),1)="C",5,99),IF(MID($B$3,WEEKDAY(F83+6,2),1)="C",6,99),IF(MID($B$3,WEEKDAY(F83+7,2),1)="C",7,99)))</f>
        <v>2</v>
      </c>
    </row>
    <row r="85" customFormat="false" ht="13.8" hidden="false" customHeight="false" outlineLevel="0" collapsed="false">
      <c r="C85" s="2" t="str">
        <f aca="false">IF(F85="","",IF(ROW()=2,INT((F85-$B$1)/7)+1,IF(INT((F85-$B$1)/7)&lt;&gt;INT((F84-$B$1)/7),INT((F85-$B$1)/7)+1,"")))</f>
        <v/>
      </c>
      <c r="D85" s="2" t="str">
        <f aca="false">IF(C85="","","W"&amp;TEXT(C85,"00"))</f>
        <v/>
      </c>
      <c r="E85" s="2" t="n">
        <f aca="false">E84+1</f>
        <v>84</v>
      </c>
      <c r="F85" s="28" t="n">
        <f aca="false">IF(L85="","",IF(F84+L85&lt;=$B$2,F84+L85,""))</f>
        <v>44414</v>
      </c>
      <c r="G85" s="1" t="str">
        <f aca="false">IF(F85="","",TEXT(F85,"ddd"))</f>
        <v>Fri</v>
      </c>
      <c r="H85" s="2" t="str">
        <f aca="false">IF(F85="","",CHOOSE(WEEKDAY(F85,2),"Mo","Tu","We","Th","Fr","Sa","Su"))</f>
        <v>Fr</v>
      </c>
      <c r="I85" s="2" t="n">
        <f aca="false">IF(F85="","",MONTH(F85))</f>
        <v>8</v>
      </c>
      <c r="J85" s="2" t="str">
        <f aca="false">IF(F85="","",TEXT(F85,"mmm"))</f>
        <v>Aug</v>
      </c>
      <c r="K85" s="2" t="n">
        <f aca="false">IF(F85="","",DAY(F85))</f>
        <v>6</v>
      </c>
      <c r="L85" s="46" t="n">
        <f aca="false">IF(F84="","",MIN(IF(MID($B$3,WEEKDAY(F84+1,2),1)="C",1,99),IF(MID($B$3,WEEKDAY(F84+2,2),1)="C",2,99),IF(MID($B$3,WEEKDAY(F84+3,2),1)="C",3,99),IF(MID($B$3,WEEKDAY(F84+4,2),1)="C",4,99),IF(MID($B$3,WEEKDAY(F84+5,2),1)="C",5,99),IF(MID($B$3,WEEKDAY(F84+6,2),1)="C",6,99),IF(MID($B$3,WEEKDAY(F84+7,2),1)="C",7,99)))</f>
        <v>2</v>
      </c>
    </row>
    <row r="86" customFormat="false" ht="13.8" hidden="false" customHeight="false" outlineLevel="0" collapsed="false">
      <c r="C86" s="2" t="n">
        <f aca="false">IF(F86="","",IF(ROW()=2,INT((F86-$B$1)/7)+1,IF(INT((F86-$B$1)/7)&lt;&gt;INT((F85-$B$1)/7),INT((F86-$B$1)/7)+1,"")))</f>
        <v>29</v>
      </c>
      <c r="D86" s="2" t="str">
        <f aca="false">IF(C86="","","W"&amp;TEXT(C86,"00"))</f>
        <v>W29</v>
      </c>
      <c r="E86" s="2" t="n">
        <f aca="false">E85+1</f>
        <v>85</v>
      </c>
      <c r="F86" s="28" t="n">
        <f aca="false">IF(L86="","",IF(F85+L86&lt;=$B$2,F85+L86,""))</f>
        <v>44417</v>
      </c>
      <c r="G86" s="1" t="str">
        <f aca="false">IF(F86="","",TEXT(F86,"ddd"))</f>
        <v>Mon</v>
      </c>
      <c r="H86" s="2" t="str">
        <f aca="false">IF(F86="","",CHOOSE(WEEKDAY(F86,2),"Mo","Tu","We","Th","Fr","Sa","Su"))</f>
        <v>Mo</v>
      </c>
      <c r="I86" s="2" t="n">
        <f aca="false">IF(F86="","",MONTH(F86))</f>
        <v>8</v>
      </c>
      <c r="J86" s="2" t="str">
        <f aca="false">IF(F86="","",TEXT(F86,"mmm"))</f>
        <v>Aug</v>
      </c>
      <c r="K86" s="2" t="n">
        <f aca="false">IF(F86="","",DAY(F86))</f>
        <v>9</v>
      </c>
      <c r="L86" s="46" t="n">
        <f aca="false">IF(F85="","",MIN(IF(MID($B$3,WEEKDAY(F85+1,2),1)="C",1,99),IF(MID($B$3,WEEKDAY(F85+2,2),1)="C",2,99),IF(MID($B$3,WEEKDAY(F85+3,2),1)="C",3,99),IF(MID($B$3,WEEKDAY(F85+4,2),1)="C",4,99),IF(MID($B$3,WEEKDAY(F85+5,2),1)="C",5,99),IF(MID($B$3,WEEKDAY(F85+6,2),1)="C",6,99),IF(MID($B$3,WEEKDAY(F85+7,2),1)="C",7,99)))</f>
        <v>3</v>
      </c>
    </row>
    <row r="87" customFormat="false" ht="13.8" hidden="false" customHeight="false" outlineLevel="0" collapsed="false">
      <c r="C87" s="2" t="str">
        <f aca="false">IF(F87="","",IF(ROW()=2,INT((F87-$B$1)/7)+1,IF(INT((F87-$B$1)/7)&lt;&gt;INT((F86-$B$1)/7),INT((F87-$B$1)/7)+1,"")))</f>
        <v/>
      </c>
      <c r="D87" s="2" t="str">
        <f aca="false">IF(C87="","","W"&amp;TEXT(C87,"00"))</f>
        <v/>
      </c>
      <c r="E87" s="2" t="n">
        <f aca="false">E86+1</f>
        <v>86</v>
      </c>
      <c r="F87" s="28" t="n">
        <f aca="false">IF(L87="","",IF(F86+L87&lt;=$B$2,F86+L87,""))</f>
        <v>44419</v>
      </c>
      <c r="G87" s="1" t="str">
        <f aca="false">IF(F87="","",TEXT(F87,"ddd"))</f>
        <v>Wed</v>
      </c>
      <c r="H87" s="2" t="str">
        <f aca="false">IF(F87="","",CHOOSE(WEEKDAY(F87,2),"Mo","Tu","We","Th","Fr","Sa","Su"))</f>
        <v>We</v>
      </c>
      <c r="I87" s="2" t="n">
        <f aca="false">IF(F87="","",MONTH(F87))</f>
        <v>8</v>
      </c>
      <c r="J87" s="2" t="str">
        <f aca="false">IF(F87="","",TEXT(F87,"mmm"))</f>
        <v>Aug</v>
      </c>
      <c r="K87" s="2" t="n">
        <f aca="false">IF(F87="","",DAY(F87))</f>
        <v>11</v>
      </c>
      <c r="L87" s="46" t="n">
        <f aca="false">IF(F86="","",MIN(IF(MID($B$3,WEEKDAY(F86+1,2),1)="C",1,99),IF(MID($B$3,WEEKDAY(F86+2,2),1)="C",2,99),IF(MID($B$3,WEEKDAY(F86+3,2),1)="C",3,99),IF(MID($B$3,WEEKDAY(F86+4,2),1)="C",4,99),IF(MID($B$3,WEEKDAY(F86+5,2),1)="C",5,99),IF(MID($B$3,WEEKDAY(F86+6,2),1)="C",6,99),IF(MID($B$3,WEEKDAY(F86+7,2),1)="C",7,99)))</f>
        <v>2</v>
      </c>
    </row>
    <row r="88" customFormat="false" ht="13.8" hidden="false" customHeight="false" outlineLevel="0" collapsed="false">
      <c r="C88" s="2" t="str">
        <f aca="false">IF(F88="","",IF(ROW()=2,INT((F88-$B$1)/7)+1,IF(INT((F88-$B$1)/7)&lt;&gt;INT((F87-$B$1)/7),INT((F88-$B$1)/7)+1,"")))</f>
        <v/>
      </c>
      <c r="D88" s="2" t="str">
        <f aca="false">IF(C88="","","W"&amp;TEXT(C88,"00"))</f>
        <v/>
      </c>
      <c r="E88" s="2" t="n">
        <f aca="false">E87+1</f>
        <v>87</v>
      </c>
      <c r="F88" s="28" t="n">
        <f aca="false">IF(L88="","",IF(F87+L88&lt;=$B$2,F87+L88,""))</f>
        <v>44421</v>
      </c>
      <c r="G88" s="1" t="str">
        <f aca="false">IF(F88="","",TEXT(F88,"ddd"))</f>
        <v>Fri</v>
      </c>
      <c r="H88" s="2" t="str">
        <f aca="false">IF(F88="","",CHOOSE(WEEKDAY(F88,2),"Mo","Tu","We","Th","Fr","Sa","Su"))</f>
        <v>Fr</v>
      </c>
      <c r="I88" s="2" t="n">
        <f aca="false">IF(F88="","",MONTH(F88))</f>
        <v>8</v>
      </c>
      <c r="J88" s="2" t="str">
        <f aca="false">IF(F88="","",TEXT(F88,"mmm"))</f>
        <v>Aug</v>
      </c>
      <c r="K88" s="2" t="n">
        <f aca="false">IF(F88="","",DAY(F88))</f>
        <v>13</v>
      </c>
      <c r="L88" s="46" t="n">
        <f aca="false">IF(F87="","",MIN(IF(MID($B$3,WEEKDAY(F87+1,2),1)="C",1,99),IF(MID($B$3,WEEKDAY(F87+2,2),1)="C",2,99),IF(MID($B$3,WEEKDAY(F87+3,2),1)="C",3,99),IF(MID($B$3,WEEKDAY(F87+4,2),1)="C",4,99),IF(MID($B$3,WEEKDAY(F87+5,2),1)="C",5,99),IF(MID($B$3,WEEKDAY(F87+6,2),1)="C",6,99),IF(MID($B$3,WEEKDAY(F87+7,2),1)="C",7,99)))</f>
        <v>2</v>
      </c>
    </row>
    <row r="89" customFormat="false" ht="13.8" hidden="false" customHeight="false" outlineLevel="0" collapsed="false">
      <c r="C89" s="2" t="n">
        <f aca="false">IF(F89="","",IF(ROW()=2,INT((F89-$B$1)/7)+1,IF(INT((F89-$B$1)/7)&lt;&gt;INT((F88-$B$1)/7),INT((F89-$B$1)/7)+1,"")))</f>
        <v>30</v>
      </c>
      <c r="D89" s="2" t="str">
        <f aca="false">IF(C89="","","W"&amp;TEXT(C89,"00"))</f>
        <v>W30</v>
      </c>
      <c r="E89" s="2" t="n">
        <f aca="false">E88+1</f>
        <v>88</v>
      </c>
      <c r="F89" s="28" t="n">
        <f aca="false">IF(L89="","",IF(F88+L89&lt;=$B$2,F88+L89,""))</f>
        <v>44424</v>
      </c>
      <c r="G89" s="1" t="str">
        <f aca="false">IF(F89="","",TEXT(F89,"ddd"))</f>
        <v>Mon</v>
      </c>
      <c r="H89" s="2" t="str">
        <f aca="false">IF(F89="","",CHOOSE(WEEKDAY(F89,2),"Mo","Tu","We","Th","Fr","Sa","Su"))</f>
        <v>Mo</v>
      </c>
      <c r="I89" s="2" t="n">
        <f aca="false">IF(F89="","",MONTH(F89))</f>
        <v>8</v>
      </c>
      <c r="J89" s="2" t="str">
        <f aca="false">IF(F89="","",TEXT(F89,"mmm"))</f>
        <v>Aug</v>
      </c>
      <c r="K89" s="2" t="n">
        <f aca="false">IF(F89="","",DAY(F89))</f>
        <v>16</v>
      </c>
      <c r="L89" s="46" t="n">
        <f aca="false">IF(F88="","",MIN(IF(MID($B$3,WEEKDAY(F88+1,2),1)="C",1,99),IF(MID($B$3,WEEKDAY(F88+2,2),1)="C",2,99),IF(MID($B$3,WEEKDAY(F88+3,2),1)="C",3,99),IF(MID($B$3,WEEKDAY(F88+4,2),1)="C",4,99),IF(MID($B$3,WEEKDAY(F88+5,2),1)="C",5,99),IF(MID($B$3,WEEKDAY(F88+6,2),1)="C",6,99),IF(MID($B$3,WEEKDAY(F88+7,2),1)="C",7,99)))</f>
        <v>3</v>
      </c>
    </row>
    <row r="90" customFormat="false" ht="13.8" hidden="false" customHeight="false" outlineLevel="0" collapsed="false">
      <c r="C90" s="2" t="str">
        <f aca="false">IF(F90="","",IF(ROW()=2,INT((F90-$B$1)/7)+1,IF(INT((F90-$B$1)/7)&lt;&gt;INT((F89-$B$1)/7),INT((F90-$B$1)/7)+1,"")))</f>
        <v/>
      </c>
      <c r="D90" s="2" t="str">
        <f aca="false">IF(C90="","","W"&amp;TEXT(C90,"00"))</f>
        <v/>
      </c>
      <c r="E90" s="2" t="n">
        <f aca="false">E89+1</f>
        <v>89</v>
      </c>
      <c r="F90" s="28" t="n">
        <f aca="false">IF(L90="","",IF(F89+L90&lt;=$B$2,F89+L90,""))</f>
        <v>44426</v>
      </c>
      <c r="G90" s="1" t="str">
        <f aca="false">IF(F90="","",TEXT(F90,"ddd"))</f>
        <v>Wed</v>
      </c>
      <c r="H90" s="2" t="str">
        <f aca="false">IF(F90="","",CHOOSE(WEEKDAY(F90,2),"Mo","Tu","We","Th","Fr","Sa","Su"))</f>
        <v>We</v>
      </c>
      <c r="I90" s="2" t="n">
        <f aca="false">IF(F90="","",MONTH(F90))</f>
        <v>8</v>
      </c>
      <c r="J90" s="2" t="str">
        <f aca="false">IF(F90="","",TEXT(F90,"mmm"))</f>
        <v>Aug</v>
      </c>
      <c r="K90" s="2" t="n">
        <f aca="false">IF(F90="","",DAY(F90))</f>
        <v>18</v>
      </c>
      <c r="L90" s="46" t="n">
        <f aca="false">IF(F89="","",MIN(IF(MID($B$3,WEEKDAY(F89+1,2),1)="C",1,99),IF(MID($B$3,WEEKDAY(F89+2,2),1)="C",2,99),IF(MID($B$3,WEEKDAY(F89+3,2),1)="C",3,99),IF(MID($B$3,WEEKDAY(F89+4,2),1)="C",4,99),IF(MID($B$3,WEEKDAY(F89+5,2),1)="C",5,99),IF(MID($B$3,WEEKDAY(F89+6,2),1)="C",6,99),IF(MID($B$3,WEEKDAY(F89+7,2),1)="C",7,99)))</f>
        <v>2</v>
      </c>
    </row>
    <row r="91" customFormat="false" ht="13.8" hidden="false" customHeight="false" outlineLevel="0" collapsed="false">
      <c r="C91" s="2" t="str">
        <f aca="false">IF(F91="","",IF(ROW()=2,INT((F91-$B$1)/7)+1,IF(INT((F91-$B$1)/7)&lt;&gt;INT((F90-$B$1)/7),INT((F91-$B$1)/7)+1,"")))</f>
        <v/>
      </c>
      <c r="D91" s="2" t="str">
        <f aca="false">IF(C91="","","W"&amp;TEXT(C91,"00"))</f>
        <v/>
      </c>
      <c r="E91" s="2" t="n">
        <f aca="false">E90+1</f>
        <v>90</v>
      </c>
      <c r="F91" s="28" t="n">
        <f aca="false">IF(L91="","",IF(F90+L91&lt;=$B$2,F90+L91,""))</f>
        <v>44428</v>
      </c>
      <c r="G91" s="1" t="str">
        <f aca="false">IF(F91="","",TEXT(F91,"ddd"))</f>
        <v>Fri</v>
      </c>
      <c r="H91" s="2" t="str">
        <f aca="false">IF(F91="","",CHOOSE(WEEKDAY(F91,2),"Mo","Tu","We","Th","Fr","Sa","Su"))</f>
        <v>Fr</v>
      </c>
      <c r="I91" s="2" t="n">
        <f aca="false">IF(F91="","",MONTH(F91))</f>
        <v>8</v>
      </c>
      <c r="J91" s="2" t="str">
        <f aca="false">IF(F91="","",TEXT(F91,"mmm"))</f>
        <v>Aug</v>
      </c>
      <c r="K91" s="2" t="n">
        <f aca="false">IF(F91="","",DAY(F91))</f>
        <v>20</v>
      </c>
      <c r="L91" s="46" t="n">
        <f aca="false">IF(F90="","",MIN(IF(MID($B$3,WEEKDAY(F90+1,2),1)="C",1,99),IF(MID($B$3,WEEKDAY(F90+2,2),1)="C",2,99),IF(MID($B$3,WEEKDAY(F90+3,2),1)="C",3,99),IF(MID($B$3,WEEKDAY(F90+4,2),1)="C",4,99),IF(MID($B$3,WEEKDAY(F90+5,2),1)="C",5,99),IF(MID($B$3,WEEKDAY(F90+6,2),1)="C",6,99),IF(MID($B$3,WEEKDAY(F90+7,2),1)="C",7,99)))</f>
        <v>2</v>
      </c>
    </row>
    <row r="92" customFormat="false" ht="13.8" hidden="false" customHeight="false" outlineLevel="0" collapsed="false">
      <c r="C92" s="2" t="n">
        <f aca="false">IF(F92="","",IF(ROW()=2,INT((F92-$B$1)/7)+1,IF(INT((F92-$B$1)/7)&lt;&gt;INT((F91-$B$1)/7),INT((F92-$B$1)/7)+1,"")))</f>
        <v>31</v>
      </c>
      <c r="D92" s="2" t="str">
        <f aca="false">IF(C92="","","W"&amp;TEXT(C92,"00"))</f>
        <v>W31</v>
      </c>
      <c r="E92" s="2" t="n">
        <f aca="false">E91+1</f>
        <v>91</v>
      </c>
      <c r="F92" s="28" t="n">
        <f aca="false">IF(L92="","",IF(F91+L92&lt;=$B$2,F91+L92,""))</f>
        <v>44431</v>
      </c>
      <c r="G92" s="1" t="str">
        <f aca="false">IF(F92="","",TEXT(F92,"ddd"))</f>
        <v>Mon</v>
      </c>
      <c r="H92" s="2" t="str">
        <f aca="false">IF(F92="","",CHOOSE(WEEKDAY(F92,2),"Mo","Tu","We","Th","Fr","Sa","Su"))</f>
        <v>Mo</v>
      </c>
      <c r="I92" s="2" t="n">
        <f aca="false">IF(F92="","",MONTH(F92))</f>
        <v>8</v>
      </c>
      <c r="J92" s="2" t="str">
        <f aca="false">IF(F92="","",TEXT(F92,"mmm"))</f>
        <v>Aug</v>
      </c>
      <c r="K92" s="2" t="n">
        <f aca="false">IF(F92="","",DAY(F92))</f>
        <v>23</v>
      </c>
      <c r="L92" s="46" t="n">
        <f aca="false">IF(F91="","",MIN(IF(MID($B$3,WEEKDAY(F91+1,2),1)="C",1,99),IF(MID($B$3,WEEKDAY(F91+2,2),1)="C",2,99),IF(MID($B$3,WEEKDAY(F91+3,2),1)="C",3,99),IF(MID($B$3,WEEKDAY(F91+4,2),1)="C",4,99),IF(MID($B$3,WEEKDAY(F91+5,2),1)="C",5,99),IF(MID($B$3,WEEKDAY(F91+6,2),1)="C",6,99),IF(MID($B$3,WEEKDAY(F91+7,2),1)="C",7,99)))</f>
        <v>3</v>
      </c>
    </row>
    <row r="93" customFormat="false" ht="13.8" hidden="false" customHeight="false" outlineLevel="0" collapsed="false">
      <c r="C93" s="2" t="str">
        <f aca="false">IF(F93="","",IF(ROW()=2,INT((F93-$B$1)/7)+1,IF(INT((F93-$B$1)/7)&lt;&gt;INT((F92-$B$1)/7),INT((F93-$B$1)/7)+1,"")))</f>
        <v/>
      </c>
      <c r="D93" s="2" t="str">
        <f aca="false">IF(C93="","","W"&amp;TEXT(C93,"00"))</f>
        <v/>
      </c>
      <c r="E93" s="2" t="n">
        <f aca="false">E92+1</f>
        <v>92</v>
      </c>
      <c r="F93" s="28" t="n">
        <f aca="false">IF(L93="","",IF(F92+L93&lt;=$B$2,F92+L93,""))</f>
        <v>44433</v>
      </c>
      <c r="G93" s="1" t="str">
        <f aca="false">IF(F93="","",TEXT(F93,"ddd"))</f>
        <v>Wed</v>
      </c>
      <c r="H93" s="2" t="str">
        <f aca="false">IF(F93="","",CHOOSE(WEEKDAY(F93,2),"Mo","Tu","We","Th","Fr","Sa","Su"))</f>
        <v>We</v>
      </c>
      <c r="I93" s="2" t="n">
        <f aca="false">IF(F93="","",MONTH(F93))</f>
        <v>8</v>
      </c>
      <c r="J93" s="2" t="str">
        <f aca="false">IF(F93="","",TEXT(F93,"mmm"))</f>
        <v>Aug</v>
      </c>
      <c r="K93" s="2" t="n">
        <f aca="false">IF(F93="","",DAY(F93))</f>
        <v>25</v>
      </c>
      <c r="L93" s="46" t="n">
        <f aca="false">IF(F92="","",MIN(IF(MID($B$3,WEEKDAY(F92+1,2),1)="C",1,99),IF(MID($B$3,WEEKDAY(F92+2,2),1)="C",2,99),IF(MID($B$3,WEEKDAY(F92+3,2),1)="C",3,99),IF(MID($B$3,WEEKDAY(F92+4,2),1)="C",4,99),IF(MID($B$3,WEEKDAY(F92+5,2),1)="C",5,99),IF(MID($B$3,WEEKDAY(F92+6,2),1)="C",6,99),IF(MID($B$3,WEEKDAY(F92+7,2),1)="C",7,99)))</f>
        <v>2</v>
      </c>
    </row>
    <row r="94" customFormat="false" ht="13.8" hidden="false" customHeight="false" outlineLevel="0" collapsed="false">
      <c r="C94" s="2" t="str">
        <f aca="false">IF(F94="","",IF(ROW()=2,INT((F94-$B$1)/7)+1,IF(INT((F94-$B$1)/7)&lt;&gt;INT((F93-$B$1)/7),INT((F94-$B$1)/7)+1,"")))</f>
        <v/>
      </c>
      <c r="D94" s="2" t="str">
        <f aca="false">IF(C94="","","W"&amp;TEXT(C94,"00"))</f>
        <v/>
      </c>
      <c r="E94" s="2" t="n">
        <f aca="false">E93+1</f>
        <v>93</v>
      </c>
      <c r="F94" s="28" t="n">
        <f aca="false">IF(L94="","",IF(F93+L94&lt;=$B$2,F93+L94,""))</f>
        <v>44435</v>
      </c>
      <c r="G94" s="1" t="str">
        <f aca="false">IF(F94="","",TEXT(F94,"ddd"))</f>
        <v>Fri</v>
      </c>
      <c r="H94" s="2" t="str">
        <f aca="false">IF(F94="","",CHOOSE(WEEKDAY(F94,2),"Mo","Tu","We","Th","Fr","Sa","Su"))</f>
        <v>Fr</v>
      </c>
      <c r="I94" s="2" t="n">
        <f aca="false">IF(F94="","",MONTH(F94))</f>
        <v>8</v>
      </c>
      <c r="J94" s="2" t="str">
        <f aca="false">IF(F94="","",TEXT(F94,"mmm"))</f>
        <v>Aug</v>
      </c>
      <c r="K94" s="2" t="n">
        <f aca="false">IF(F94="","",DAY(F94))</f>
        <v>27</v>
      </c>
      <c r="L94" s="46" t="n">
        <f aca="false">IF(F93="","",MIN(IF(MID($B$3,WEEKDAY(F93+1,2),1)="C",1,99),IF(MID($B$3,WEEKDAY(F93+2,2),1)="C",2,99),IF(MID($B$3,WEEKDAY(F93+3,2),1)="C",3,99),IF(MID($B$3,WEEKDAY(F93+4,2),1)="C",4,99),IF(MID($B$3,WEEKDAY(F93+5,2),1)="C",5,99),IF(MID($B$3,WEEKDAY(F93+6,2),1)="C",6,99),IF(MID($B$3,WEEKDAY(F93+7,2),1)="C",7,99)))</f>
        <v>2</v>
      </c>
    </row>
    <row r="95" customFormat="false" ht="13.8" hidden="false" customHeight="false" outlineLevel="0" collapsed="false">
      <c r="C95" s="2" t="n">
        <f aca="false">IF(F95="","",IF(ROW()=2,INT((F95-$B$1)/7)+1,IF(INT((F95-$B$1)/7)&lt;&gt;INT((F94-$B$1)/7),INT((F95-$B$1)/7)+1,"")))</f>
        <v>32</v>
      </c>
      <c r="D95" s="2" t="str">
        <f aca="false">IF(C95="","","W"&amp;TEXT(C95,"00"))</f>
        <v>W32</v>
      </c>
      <c r="E95" s="2" t="n">
        <f aca="false">E94+1</f>
        <v>94</v>
      </c>
      <c r="F95" s="28" t="n">
        <f aca="false">IF(L95="","",IF(F94+L95&lt;=$B$2,F94+L95,""))</f>
        <v>44438</v>
      </c>
      <c r="G95" s="1" t="str">
        <f aca="false">IF(F95="","",TEXT(F95,"ddd"))</f>
        <v>Mon</v>
      </c>
      <c r="H95" s="2" t="str">
        <f aca="false">IF(F95="","",CHOOSE(WEEKDAY(F95,2),"Mo","Tu","We","Th","Fr","Sa","Su"))</f>
        <v>Mo</v>
      </c>
      <c r="I95" s="2" t="n">
        <f aca="false">IF(F95="","",MONTH(F95))</f>
        <v>8</v>
      </c>
      <c r="J95" s="2" t="str">
        <f aca="false">IF(F95="","",TEXT(F95,"mmm"))</f>
        <v>Aug</v>
      </c>
      <c r="K95" s="2" t="n">
        <f aca="false">IF(F95="","",DAY(F95))</f>
        <v>30</v>
      </c>
      <c r="L95" s="46" t="n">
        <f aca="false">IF(F94="","",MIN(IF(MID($B$3,WEEKDAY(F94+1,2),1)="C",1,99),IF(MID($B$3,WEEKDAY(F94+2,2),1)="C",2,99),IF(MID($B$3,WEEKDAY(F94+3,2),1)="C",3,99),IF(MID($B$3,WEEKDAY(F94+4,2),1)="C",4,99),IF(MID($B$3,WEEKDAY(F94+5,2),1)="C",5,99),IF(MID($B$3,WEEKDAY(F94+6,2),1)="C",6,99),IF(MID($B$3,WEEKDAY(F94+7,2),1)="C",7,99)))</f>
        <v>3</v>
      </c>
    </row>
    <row r="96" customFormat="false" ht="13.8" hidden="false" customHeight="false" outlineLevel="0" collapsed="false">
      <c r="C96" s="2" t="str">
        <f aca="false">IF(F96="","",IF(ROW()=2,INT((F96-$B$1)/7)+1,IF(INT((F96-$B$1)/7)&lt;&gt;INT((F95-$B$1)/7),INT((F96-$B$1)/7)+1,"")))</f>
        <v/>
      </c>
      <c r="D96" s="2" t="str">
        <f aca="false">IF(C96="","","W"&amp;TEXT(C96,"00"))</f>
        <v/>
      </c>
      <c r="E96" s="2" t="n">
        <f aca="false">E95+1</f>
        <v>95</v>
      </c>
      <c r="F96" s="28" t="n">
        <f aca="false">IF(L96="","",IF(F95+L96&lt;=$B$2,F95+L96,""))</f>
        <v>44440</v>
      </c>
      <c r="G96" s="1" t="str">
        <f aca="false">IF(F96="","",TEXT(F96,"ddd"))</f>
        <v>Wed</v>
      </c>
      <c r="H96" s="2" t="str">
        <f aca="false">IF(F96="","",CHOOSE(WEEKDAY(F96,2),"Mo","Tu","We","Th","Fr","Sa","Su"))</f>
        <v>We</v>
      </c>
      <c r="I96" s="2" t="n">
        <f aca="false">IF(F96="","",MONTH(F96))</f>
        <v>9</v>
      </c>
      <c r="J96" s="2" t="str">
        <f aca="false">IF(F96="","",TEXT(F96,"mmm"))</f>
        <v>Sep</v>
      </c>
      <c r="K96" s="2" t="n">
        <f aca="false">IF(F96="","",DAY(F96))</f>
        <v>1</v>
      </c>
      <c r="L96" s="46" t="n">
        <f aca="false">IF(F95="","",MIN(IF(MID($B$3,WEEKDAY(F95+1,2),1)="C",1,99),IF(MID($B$3,WEEKDAY(F95+2,2),1)="C",2,99),IF(MID($B$3,WEEKDAY(F95+3,2),1)="C",3,99),IF(MID($B$3,WEEKDAY(F95+4,2),1)="C",4,99),IF(MID($B$3,WEEKDAY(F95+5,2),1)="C",5,99),IF(MID($B$3,WEEKDAY(F95+6,2),1)="C",6,99),IF(MID($B$3,WEEKDAY(F95+7,2),1)="C",7,99)))</f>
        <v>2</v>
      </c>
    </row>
    <row r="97" customFormat="false" ht="13.8" hidden="false" customHeight="false" outlineLevel="0" collapsed="false">
      <c r="C97" s="2" t="str">
        <f aca="false">IF(F97="","",IF(ROW()=2,INT((F97-$B$1)/7)+1,IF(INT((F97-$B$1)/7)&lt;&gt;INT((F96-$B$1)/7),INT((F97-$B$1)/7)+1,"")))</f>
        <v/>
      </c>
      <c r="D97" s="2" t="str">
        <f aca="false">IF(C97="","","W"&amp;TEXT(C97,"00"))</f>
        <v/>
      </c>
      <c r="E97" s="2" t="n">
        <f aca="false">E96+1</f>
        <v>96</v>
      </c>
      <c r="F97" s="28" t="n">
        <f aca="false">IF(L97="","",IF(F96+L97&lt;=$B$2,F96+L97,""))</f>
        <v>44442</v>
      </c>
      <c r="G97" s="1" t="str">
        <f aca="false">IF(F97="","",TEXT(F97,"ddd"))</f>
        <v>Fri</v>
      </c>
      <c r="H97" s="2" t="str">
        <f aca="false">IF(F97="","",CHOOSE(WEEKDAY(F97,2),"Mo","Tu","We","Th","Fr","Sa","Su"))</f>
        <v>Fr</v>
      </c>
      <c r="I97" s="2" t="n">
        <f aca="false">IF(F97="","",MONTH(F97))</f>
        <v>9</v>
      </c>
      <c r="J97" s="2" t="str">
        <f aca="false">IF(F97="","",TEXT(F97,"mmm"))</f>
        <v>Sep</v>
      </c>
      <c r="K97" s="2" t="n">
        <f aca="false">IF(F97="","",DAY(F97))</f>
        <v>3</v>
      </c>
      <c r="L97" s="46" t="n">
        <f aca="false">IF(F96="","",MIN(IF(MID($B$3,WEEKDAY(F96+1,2),1)="C",1,99),IF(MID($B$3,WEEKDAY(F96+2,2),1)="C",2,99),IF(MID($B$3,WEEKDAY(F96+3,2),1)="C",3,99),IF(MID($B$3,WEEKDAY(F96+4,2),1)="C",4,99),IF(MID($B$3,WEEKDAY(F96+5,2),1)="C",5,99),IF(MID($B$3,WEEKDAY(F96+6,2),1)="C",6,99),IF(MID($B$3,WEEKDAY(F96+7,2),1)="C",7,99)))</f>
        <v>2</v>
      </c>
    </row>
    <row r="98" customFormat="false" ht="13.8" hidden="false" customHeight="false" outlineLevel="0" collapsed="false">
      <c r="C98" s="2" t="n">
        <f aca="false">IF(F98="","",IF(ROW()=2,INT((F98-$B$1)/7)+1,IF(INT((F98-$B$1)/7)&lt;&gt;INT((F97-$B$1)/7),INT((F98-$B$1)/7)+1,"")))</f>
        <v>33</v>
      </c>
      <c r="D98" s="2" t="str">
        <f aca="false">IF(C98="","","W"&amp;TEXT(C98,"00"))</f>
        <v>W33</v>
      </c>
      <c r="E98" s="2" t="n">
        <f aca="false">E97+1</f>
        <v>97</v>
      </c>
      <c r="F98" s="28" t="n">
        <f aca="false">IF(L98="","",IF(F97+L98&lt;=$B$2,F97+L98,""))</f>
        <v>44445</v>
      </c>
      <c r="G98" s="1" t="str">
        <f aca="false">IF(F98="","",TEXT(F98,"ddd"))</f>
        <v>Mon</v>
      </c>
      <c r="H98" s="2" t="str">
        <f aca="false">IF(F98="","",CHOOSE(WEEKDAY(F98,2),"Mo","Tu","We","Th","Fr","Sa","Su"))</f>
        <v>Mo</v>
      </c>
      <c r="I98" s="2" t="n">
        <f aca="false">IF(F98="","",MONTH(F98))</f>
        <v>9</v>
      </c>
      <c r="J98" s="2" t="str">
        <f aca="false">IF(F98="","",TEXT(F98,"mmm"))</f>
        <v>Sep</v>
      </c>
      <c r="K98" s="2" t="n">
        <f aca="false">IF(F98="","",DAY(F98))</f>
        <v>6</v>
      </c>
      <c r="L98" s="46" t="n">
        <f aca="false">IF(F97="","",MIN(IF(MID($B$3,WEEKDAY(F97+1,2),1)="C",1,99),IF(MID($B$3,WEEKDAY(F97+2,2),1)="C",2,99),IF(MID($B$3,WEEKDAY(F97+3,2),1)="C",3,99),IF(MID($B$3,WEEKDAY(F97+4,2),1)="C",4,99),IF(MID($B$3,WEEKDAY(F97+5,2),1)="C",5,99),IF(MID($B$3,WEEKDAY(F97+6,2),1)="C",6,99),IF(MID($B$3,WEEKDAY(F97+7,2),1)="C",7,99)))</f>
        <v>3</v>
      </c>
    </row>
    <row r="99" customFormat="false" ht="13.8" hidden="false" customHeight="false" outlineLevel="0" collapsed="false">
      <c r="C99" s="2" t="str">
        <f aca="false">IF(F99="","",IF(ROW()=2,INT((F99-$B$1)/7)+1,IF(INT((F99-$B$1)/7)&lt;&gt;INT((F98-$B$1)/7),INT((F99-$B$1)/7)+1,"")))</f>
        <v/>
      </c>
      <c r="D99" s="2" t="str">
        <f aca="false">IF(C99="","","W"&amp;TEXT(C99,"00"))</f>
        <v/>
      </c>
      <c r="E99" s="2" t="n">
        <f aca="false">E98+1</f>
        <v>98</v>
      </c>
      <c r="F99" s="28" t="n">
        <f aca="false">IF(L99="","",IF(F98+L99&lt;=$B$2,F98+L99,""))</f>
        <v>44447</v>
      </c>
      <c r="G99" s="1" t="str">
        <f aca="false">IF(F99="","",TEXT(F99,"ddd"))</f>
        <v>Wed</v>
      </c>
      <c r="H99" s="2" t="str">
        <f aca="false">IF(F99="","",CHOOSE(WEEKDAY(F99,2),"Mo","Tu","We","Th","Fr","Sa","Su"))</f>
        <v>We</v>
      </c>
      <c r="I99" s="2" t="n">
        <f aca="false">IF(F99="","",MONTH(F99))</f>
        <v>9</v>
      </c>
      <c r="J99" s="2" t="str">
        <f aca="false">IF(F99="","",TEXT(F99,"mmm"))</f>
        <v>Sep</v>
      </c>
      <c r="K99" s="2" t="n">
        <f aca="false">IF(F99="","",DAY(F99))</f>
        <v>8</v>
      </c>
      <c r="L99" s="46" t="n">
        <f aca="false">IF(F98="","",MIN(IF(MID($B$3,WEEKDAY(F98+1,2),1)="C",1,99),IF(MID($B$3,WEEKDAY(F98+2,2),1)="C",2,99),IF(MID($B$3,WEEKDAY(F98+3,2),1)="C",3,99),IF(MID($B$3,WEEKDAY(F98+4,2),1)="C",4,99),IF(MID($B$3,WEEKDAY(F98+5,2),1)="C",5,99),IF(MID($B$3,WEEKDAY(F98+6,2),1)="C",6,99),IF(MID($B$3,WEEKDAY(F98+7,2),1)="C",7,99)))</f>
        <v>2</v>
      </c>
    </row>
    <row r="100" customFormat="false" ht="13.8" hidden="false" customHeight="false" outlineLevel="0" collapsed="false">
      <c r="C100" s="2" t="str">
        <f aca="false">IF(F100="","",IF(ROW()=2,INT((F100-$B$1)/7)+1,IF(INT((F100-$B$1)/7)&lt;&gt;INT((F99-$B$1)/7),INT((F100-$B$1)/7)+1,"")))</f>
        <v/>
      </c>
      <c r="D100" s="2" t="str">
        <f aca="false">IF(C100="","","W"&amp;TEXT(C100,"00"))</f>
        <v/>
      </c>
      <c r="E100" s="2" t="n">
        <f aca="false">E99+1</f>
        <v>99</v>
      </c>
      <c r="F100" s="28" t="n">
        <f aca="false">IF(L100="","",IF(F99+L100&lt;=$B$2,F99+L100,""))</f>
        <v>44449</v>
      </c>
      <c r="G100" s="1" t="str">
        <f aca="false">IF(F100="","",TEXT(F100,"ddd"))</f>
        <v>Fri</v>
      </c>
      <c r="H100" s="2" t="str">
        <f aca="false">IF(F100="","",CHOOSE(WEEKDAY(F100,2),"Mo","Tu","We","Th","Fr","Sa","Su"))</f>
        <v>Fr</v>
      </c>
      <c r="I100" s="2" t="n">
        <f aca="false">IF(F100="","",MONTH(F100))</f>
        <v>9</v>
      </c>
      <c r="J100" s="2" t="str">
        <f aca="false">IF(F100="","",TEXT(F100,"mmm"))</f>
        <v>Sep</v>
      </c>
      <c r="K100" s="2" t="n">
        <f aca="false">IF(F100="","",DAY(F100))</f>
        <v>10</v>
      </c>
      <c r="L100" s="46" t="n">
        <f aca="false">IF(F99="","",MIN(IF(MID($B$3,WEEKDAY(F99+1,2),1)="C",1,99),IF(MID($B$3,WEEKDAY(F99+2,2),1)="C",2,99),IF(MID($B$3,WEEKDAY(F99+3,2),1)="C",3,99),IF(MID($B$3,WEEKDAY(F99+4,2),1)="C",4,99),IF(MID($B$3,WEEKDAY(F99+5,2),1)="C",5,99),IF(MID($B$3,WEEKDAY(F99+6,2),1)="C",6,99),IF(MID($B$3,WEEKDAY(F99+7,2),1)="C",7,99)))</f>
        <v>2</v>
      </c>
    </row>
    <row r="101" customFormat="false" ht="13.8" hidden="false" customHeight="false" outlineLevel="0" collapsed="false">
      <c r="C101" s="2" t="n">
        <f aca="false">IF(F101="","",IF(ROW()=2,INT((F101-$B$1)/7)+1,IF(INT((F101-$B$1)/7)&lt;&gt;INT((F100-$B$1)/7),INT((F101-$B$1)/7)+1,"")))</f>
        <v>34</v>
      </c>
      <c r="D101" s="2" t="str">
        <f aca="false">IF(C101="","","W"&amp;TEXT(C101,"00"))</f>
        <v>W34</v>
      </c>
      <c r="E101" s="2" t="n">
        <f aca="false">E100+1</f>
        <v>100</v>
      </c>
      <c r="F101" s="28" t="n">
        <f aca="false">IF(L101="","",IF(F100+L101&lt;=$B$2,F100+L101,""))</f>
        <v>44452</v>
      </c>
      <c r="G101" s="1" t="str">
        <f aca="false">IF(F101="","",TEXT(F101,"ddd"))</f>
        <v>Mon</v>
      </c>
      <c r="H101" s="2" t="str">
        <f aca="false">IF(F101="","",CHOOSE(WEEKDAY(F101,2),"Mo","Tu","We","Th","Fr","Sa","Su"))</f>
        <v>Mo</v>
      </c>
      <c r="I101" s="2" t="n">
        <f aca="false">IF(F101="","",MONTH(F101))</f>
        <v>9</v>
      </c>
      <c r="J101" s="2" t="str">
        <f aca="false">IF(F101="","",TEXT(F101,"mmm"))</f>
        <v>Sep</v>
      </c>
      <c r="K101" s="2" t="n">
        <f aca="false">IF(F101="","",DAY(F101))</f>
        <v>13</v>
      </c>
      <c r="L101" s="46" t="n">
        <f aca="false">IF(F100="","",MIN(IF(MID($B$3,WEEKDAY(F100+1,2),1)="C",1,99),IF(MID($B$3,WEEKDAY(F100+2,2),1)="C",2,99),IF(MID($B$3,WEEKDAY(F100+3,2),1)="C",3,99),IF(MID($B$3,WEEKDAY(F100+4,2),1)="C",4,99),IF(MID($B$3,WEEKDAY(F100+5,2),1)="C",5,99),IF(MID($B$3,WEEKDAY(F100+6,2),1)="C",6,99),IF(MID($B$3,WEEKDAY(F100+7,2),1)="C",7,99)))</f>
        <v>3</v>
      </c>
    </row>
    <row r="102" customFormat="false" ht="13.8" hidden="false" customHeight="false" outlineLevel="0" collapsed="false">
      <c r="C102" s="2" t="str">
        <f aca="false">IF(F102="","",IF(ROW()=2,INT((F102-$B$1)/7)+1,IF(INT((F102-$B$1)/7)&lt;&gt;INT((F101-$B$1)/7),INT((F102-$B$1)/7)+1,"")))</f>
        <v/>
      </c>
      <c r="D102" s="2" t="str">
        <f aca="false">IF(C102="","","W"&amp;TEXT(C102,"00"))</f>
        <v/>
      </c>
      <c r="E102" s="2" t="n">
        <f aca="false">E101+1</f>
        <v>101</v>
      </c>
      <c r="F102" s="28" t="n">
        <f aca="false">IF(L102="","",IF(F101+L102&lt;=$B$2,F101+L102,""))</f>
        <v>44454</v>
      </c>
      <c r="G102" s="1" t="str">
        <f aca="false">IF(F102="","",TEXT(F102,"ddd"))</f>
        <v>Wed</v>
      </c>
      <c r="H102" s="2" t="str">
        <f aca="false">IF(F102="","",CHOOSE(WEEKDAY(F102,2),"Mo","Tu","We","Th","Fr","Sa","Su"))</f>
        <v>We</v>
      </c>
      <c r="I102" s="2" t="n">
        <f aca="false">IF(F102="","",MONTH(F102))</f>
        <v>9</v>
      </c>
      <c r="J102" s="2" t="str">
        <f aca="false">IF(F102="","",TEXT(F102,"mmm"))</f>
        <v>Sep</v>
      </c>
      <c r="K102" s="2" t="n">
        <f aca="false">IF(F102="","",DAY(F102))</f>
        <v>15</v>
      </c>
      <c r="L102" s="46" t="n">
        <f aca="false">IF(F101="","",MIN(IF(MID($B$3,WEEKDAY(F101+1,2),1)="C",1,99),IF(MID($B$3,WEEKDAY(F101+2,2),1)="C",2,99),IF(MID($B$3,WEEKDAY(F101+3,2),1)="C",3,99),IF(MID($B$3,WEEKDAY(F101+4,2),1)="C",4,99),IF(MID($B$3,WEEKDAY(F101+5,2),1)="C",5,99),IF(MID($B$3,WEEKDAY(F101+6,2),1)="C",6,99),IF(MID($B$3,WEEKDAY(F101+7,2),1)="C",7,99)))</f>
        <v>2</v>
      </c>
    </row>
    <row r="103" customFormat="false" ht="13.8" hidden="false" customHeight="false" outlineLevel="0" collapsed="false">
      <c r="C103" s="2" t="str">
        <f aca="false">IF(F103="","",IF(ROW()=2,INT((F103-$B$1)/7)+1,IF(INT((F103-$B$1)/7)&lt;&gt;INT((F102-$B$1)/7),INT((F103-$B$1)/7)+1,"")))</f>
        <v/>
      </c>
      <c r="D103" s="2" t="str">
        <f aca="false">IF(C103="","","W"&amp;TEXT(C103,"00"))</f>
        <v/>
      </c>
      <c r="E103" s="2" t="n">
        <f aca="false">E102+1</f>
        <v>102</v>
      </c>
      <c r="F103" s="28" t="n">
        <f aca="false">IF(L103="","",IF(F102+L103&lt;=$B$2,F102+L103,""))</f>
        <v>44456</v>
      </c>
      <c r="G103" s="1" t="str">
        <f aca="false">IF(F103="","",TEXT(F103,"ddd"))</f>
        <v>Fri</v>
      </c>
      <c r="H103" s="2" t="str">
        <f aca="false">IF(F103="","",CHOOSE(WEEKDAY(F103,2),"Mo","Tu","We","Th","Fr","Sa","Su"))</f>
        <v>Fr</v>
      </c>
      <c r="I103" s="2" t="n">
        <f aca="false">IF(F103="","",MONTH(F103))</f>
        <v>9</v>
      </c>
      <c r="J103" s="2" t="str">
        <f aca="false">IF(F103="","",TEXT(F103,"mmm"))</f>
        <v>Sep</v>
      </c>
      <c r="K103" s="2" t="n">
        <f aca="false">IF(F103="","",DAY(F103))</f>
        <v>17</v>
      </c>
      <c r="L103" s="46" t="n">
        <f aca="false">IF(F102="","",MIN(IF(MID($B$3,WEEKDAY(F102+1,2),1)="C",1,99),IF(MID($B$3,WEEKDAY(F102+2,2),1)="C",2,99),IF(MID($B$3,WEEKDAY(F102+3,2),1)="C",3,99),IF(MID($B$3,WEEKDAY(F102+4,2),1)="C",4,99),IF(MID($B$3,WEEKDAY(F102+5,2),1)="C",5,99),IF(MID($B$3,WEEKDAY(F102+6,2),1)="C",6,99),IF(MID($B$3,WEEKDAY(F102+7,2),1)="C",7,99)))</f>
        <v>2</v>
      </c>
    </row>
    <row r="104" customFormat="false" ht="13.8" hidden="false" customHeight="false" outlineLevel="0" collapsed="false">
      <c r="C104" s="2" t="n">
        <f aca="false">IF(F104="","",IF(ROW()=2,INT((F104-$B$1)/7)+1,IF(INT((F104-$B$1)/7)&lt;&gt;INT((F103-$B$1)/7),INT((F104-$B$1)/7)+1,"")))</f>
        <v>35</v>
      </c>
      <c r="D104" s="2" t="str">
        <f aca="false">IF(C104="","","W"&amp;TEXT(C104,"00"))</f>
        <v>W35</v>
      </c>
      <c r="E104" s="2" t="n">
        <f aca="false">E103+1</f>
        <v>103</v>
      </c>
      <c r="F104" s="28" t="n">
        <f aca="false">IF(L104="","",IF(F103+L104&lt;=$B$2,F103+L104,""))</f>
        <v>44459</v>
      </c>
      <c r="G104" s="1" t="str">
        <f aca="false">IF(F104="","",TEXT(F104,"ddd"))</f>
        <v>Mon</v>
      </c>
      <c r="H104" s="2" t="str">
        <f aca="false">IF(F104="","",CHOOSE(WEEKDAY(F104,2),"Mo","Tu","We","Th","Fr","Sa","Su"))</f>
        <v>Mo</v>
      </c>
      <c r="I104" s="2" t="n">
        <f aca="false">IF(F104="","",MONTH(F104))</f>
        <v>9</v>
      </c>
      <c r="J104" s="2" t="str">
        <f aca="false">IF(F104="","",TEXT(F104,"mmm"))</f>
        <v>Sep</v>
      </c>
      <c r="K104" s="2" t="n">
        <f aca="false">IF(F104="","",DAY(F104))</f>
        <v>20</v>
      </c>
      <c r="L104" s="46" t="n">
        <f aca="false">IF(F103="","",MIN(IF(MID($B$3,WEEKDAY(F103+1,2),1)="C",1,99),IF(MID($B$3,WEEKDAY(F103+2,2),1)="C",2,99),IF(MID($B$3,WEEKDAY(F103+3,2),1)="C",3,99),IF(MID($B$3,WEEKDAY(F103+4,2),1)="C",4,99),IF(MID($B$3,WEEKDAY(F103+5,2),1)="C",5,99),IF(MID($B$3,WEEKDAY(F103+6,2),1)="C",6,99),IF(MID($B$3,WEEKDAY(F103+7,2),1)="C",7,99)))</f>
        <v>3</v>
      </c>
    </row>
    <row r="105" customFormat="false" ht="13.8" hidden="false" customHeight="false" outlineLevel="0" collapsed="false">
      <c r="C105" s="2" t="str">
        <f aca="false">IF(F105="","",IF(ROW()=2,INT((F105-$B$1)/7)+1,IF(INT((F105-$B$1)/7)&lt;&gt;INT((F104-$B$1)/7),INT((F105-$B$1)/7)+1,"")))</f>
        <v/>
      </c>
      <c r="D105" s="2" t="str">
        <f aca="false">IF(C105="","","W"&amp;TEXT(C105,"00"))</f>
        <v/>
      </c>
      <c r="E105" s="2" t="n">
        <f aca="false">E104+1</f>
        <v>104</v>
      </c>
      <c r="F105" s="28" t="n">
        <f aca="false">IF(L105="","",IF(F104+L105&lt;=$B$2,F104+L105,""))</f>
        <v>44461</v>
      </c>
      <c r="G105" s="1" t="str">
        <f aca="false">IF(F105="","",TEXT(F105,"ddd"))</f>
        <v>Wed</v>
      </c>
      <c r="H105" s="2" t="str">
        <f aca="false">IF(F105="","",CHOOSE(WEEKDAY(F105,2),"Mo","Tu","We","Th","Fr","Sa","Su"))</f>
        <v>We</v>
      </c>
      <c r="I105" s="2" t="n">
        <f aca="false">IF(F105="","",MONTH(F105))</f>
        <v>9</v>
      </c>
      <c r="J105" s="2" t="str">
        <f aca="false">IF(F105="","",TEXT(F105,"mmm"))</f>
        <v>Sep</v>
      </c>
      <c r="K105" s="2" t="n">
        <f aca="false">IF(F105="","",DAY(F105))</f>
        <v>22</v>
      </c>
      <c r="L105" s="46" t="n">
        <f aca="false">IF(F104="","",MIN(IF(MID($B$3,WEEKDAY(F104+1,2),1)="C",1,99),IF(MID($B$3,WEEKDAY(F104+2,2),1)="C",2,99),IF(MID($B$3,WEEKDAY(F104+3,2),1)="C",3,99),IF(MID($B$3,WEEKDAY(F104+4,2),1)="C",4,99),IF(MID($B$3,WEEKDAY(F104+5,2),1)="C",5,99),IF(MID($B$3,WEEKDAY(F104+6,2),1)="C",6,99),IF(MID($B$3,WEEKDAY(F104+7,2),1)="C",7,99)))</f>
        <v>2</v>
      </c>
    </row>
    <row r="106" customFormat="false" ht="13.8" hidden="false" customHeight="false" outlineLevel="0" collapsed="false">
      <c r="C106" s="2" t="str">
        <f aca="false">IF(F106="","",IF(ROW()=2,INT((F106-$B$1)/7)+1,IF(INT((F106-$B$1)/7)&lt;&gt;INT((F105-$B$1)/7),INT((F106-$B$1)/7)+1,"")))</f>
        <v/>
      </c>
      <c r="D106" s="2" t="str">
        <f aca="false">IF(C106="","","W"&amp;TEXT(C106,"00"))</f>
        <v/>
      </c>
      <c r="E106" s="2" t="n">
        <f aca="false">E105+1</f>
        <v>105</v>
      </c>
      <c r="F106" s="28" t="n">
        <f aca="false">IF(L106="","",IF(F105+L106&lt;=$B$2,F105+L106,""))</f>
        <v>44463</v>
      </c>
      <c r="G106" s="1" t="str">
        <f aca="false">IF(F106="","",TEXT(F106,"ddd"))</f>
        <v>Fri</v>
      </c>
      <c r="H106" s="2" t="str">
        <f aca="false">IF(F106="","",CHOOSE(WEEKDAY(F106,2),"Mo","Tu","We","Th","Fr","Sa","Su"))</f>
        <v>Fr</v>
      </c>
      <c r="I106" s="2" t="n">
        <f aca="false">IF(F106="","",MONTH(F106))</f>
        <v>9</v>
      </c>
      <c r="J106" s="2" t="str">
        <f aca="false">IF(F106="","",TEXT(F106,"mmm"))</f>
        <v>Sep</v>
      </c>
      <c r="K106" s="2" t="n">
        <f aca="false">IF(F106="","",DAY(F106))</f>
        <v>24</v>
      </c>
      <c r="L106" s="46" t="n">
        <f aca="false">IF(F105="","",MIN(IF(MID($B$3,WEEKDAY(F105+1,2),1)="C",1,99),IF(MID($B$3,WEEKDAY(F105+2,2),1)="C",2,99),IF(MID($B$3,WEEKDAY(F105+3,2),1)="C",3,99),IF(MID($B$3,WEEKDAY(F105+4,2),1)="C",4,99),IF(MID($B$3,WEEKDAY(F105+5,2),1)="C",5,99),IF(MID($B$3,WEEKDAY(F105+6,2),1)="C",6,99),IF(MID($B$3,WEEKDAY(F105+7,2),1)="C",7,99)))</f>
        <v>2</v>
      </c>
    </row>
    <row r="107" customFormat="false" ht="13.8" hidden="false" customHeight="false" outlineLevel="0" collapsed="false">
      <c r="C107" s="2" t="n">
        <f aca="false">IF(F107="","",IF(ROW()=2,INT((F107-$B$1)/7)+1,IF(INT((F107-$B$1)/7)&lt;&gt;INT((F106-$B$1)/7),INT((F107-$B$1)/7)+1,"")))</f>
        <v>36</v>
      </c>
      <c r="D107" s="2" t="str">
        <f aca="false">IF(C107="","","W"&amp;TEXT(C107,"00"))</f>
        <v>W36</v>
      </c>
      <c r="E107" s="2" t="n">
        <f aca="false">E106+1</f>
        <v>106</v>
      </c>
      <c r="F107" s="28" t="n">
        <f aca="false">IF(L107="","",IF(F106+L107&lt;=$B$2,F106+L107,""))</f>
        <v>44466</v>
      </c>
      <c r="G107" s="1" t="str">
        <f aca="false">IF(F107="","",TEXT(F107,"ddd"))</f>
        <v>Mon</v>
      </c>
      <c r="H107" s="2" t="str">
        <f aca="false">IF(F107="","",CHOOSE(WEEKDAY(F107,2),"Mo","Tu","We","Th","Fr","Sa","Su"))</f>
        <v>Mo</v>
      </c>
      <c r="I107" s="2" t="n">
        <f aca="false">IF(F107="","",MONTH(F107))</f>
        <v>9</v>
      </c>
      <c r="J107" s="2" t="str">
        <f aca="false">IF(F107="","",TEXT(F107,"mmm"))</f>
        <v>Sep</v>
      </c>
      <c r="K107" s="2" t="n">
        <f aca="false">IF(F107="","",DAY(F107))</f>
        <v>27</v>
      </c>
      <c r="L107" s="46" t="n">
        <f aca="false">IF(F106="","",MIN(IF(MID($B$3,WEEKDAY(F106+1,2),1)="C",1,99),IF(MID($B$3,WEEKDAY(F106+2,2),1)="C",2,99),IF(MID($B$3,WEEKDAY(F106+3,2),1)="C",3,99),IF(MID($B$3,WEEKDAY(F106+4,2),1)="C",4,99),IF(MID($B$3,WEEKDAY(F106+5,2),1)="C",5,99),IF(MID($B$3,WEEKDAY(F106+6,2),1)="C",6,99),IF(MID($B$3,WEEKDAY(F106+7,2),1)="C",7,99)))</f>
        <v>3</v>
      </c>
    </row>
    <row r="108" customFormat="false" ht="13.8" hidden="false" customHeight="false" outlineLevel="0" collapsed="false">
      <c r="C108" s="2" t="str">
        <f aca="false">IF(F108="","",IF(ROW()=2,INT((F108-$B$1)/7)+1,IF(INT((F108-$B$1)/7)&lt;&gt;INT((F107-$B$1)/7),INT((F108-$B$1)/7)+1,"")))</f>
        <v/>
      </c>
      <c r="D108" s="2" t="str">
        <f aca="false">IF(C108="","","W"&amp;TEXT(C108,"00"))</f>
        <v/>
      </c>
      <c r="E108" s="2" t="n">
        <f aca="false">E107+1</f>
        <v>107</v>
      </c>
      <c r="F108" s="28" t="n">
        <f aca="false">IF(L108="","",IF(F107+L108&lt;=$B$2,F107+L108,""))</f>
        <v>44468</v>
      </c>
      <c r="G108" s="1" t="str">
        <f aca="false">IF(F108="","",TEXT(F108,"ddd"))</f>
        <v>Wed</v>
      </c>
      <c r="H108" s="2" t="str">
        <f aca="false">IF(F108="","",CHOOSE(WEEKDAY(F108,2),"Mo","Tu","We","Th","Fr","Sa","Su"))</f>
        <v>We</v>
      </c>
      <c r="I108" s="2" t="n">
        <f aca="false">IF(F108="","",MONTH(F108))</f>
        <v>9</v>
      </c>
      <c r="J108" s="2" t="str">
        <f aca="false">IF(F108="","",TEXT(F108,"mmm"))</f>
        <v>Sep</v>
      </c>
      <c r="K108" s="2" t="n">
        <f aca="false">IF(F108="","",DAY(F108))</f>
        <v>29</v>
      </c>
      <c r="L108" s="46" t="n">
        <f aca="false">IF(F107="","",MIN(IF(MID($B$3,WEEKDAY(F107+1,2),1)="C",1,99),IF(MID($B$3,WEEKDAY(F107+2,2),1)="C",2,99),IF(MID($B$3,WEEKDAY(F107+3,2),1)="C",3,99),IF(MID($B$3,WEEKDAY(F107+4,2),1)="C",4,99),IF(MID($B$3,WEEKDAY(F107+5,2),1)="C",5,99),IF(MID($B$3,WEEKDAY(F107+6,2),1)="C",6,99),IF(MID($B$3,WEEKDAY(F107+7,2),1)="C",7,99)))</f>
        <v>2</v>
      </c>
    </row>
    <row r="109" customFormat="false" ht="13.8" hidden="false" customHeight="false" outlineLevel="0" collapsed="false">
      <c r="C109" s="2" t="str">
        <f aca="false">IF(F109="","",IF(ROW()=2,INT((F109-$B$1)/7)+1,IF(INT((F109-$B$1)/7)&lt;&gt;INT((F108-$B$1)/7),INT((F109-$B$1)/7)+1,"")))</f>
        <v/>
      </c>
      <c r="D109" s="2" t="str">
        <f aca="false">IF(C109="","","W"&amp;TEXT(C109,"00"))</f>
        <v/>
      </c>
      <c r="E109" s="2" t="n">
        <f aca="false">E108+1</f>
        <v>108</v>
      </c>
      <c r="F109" s="28" t="n">
        <f aca="false">IF(L109="","",IF(F108+L109&lt;=$B$2,F108+L109,""))</f>
        <v>44470</v>
      </c>
      <c r="G109" s="1" t="str">
        <f aca="false">IF(F109="","",TEXT(F109,"ddd"))</f>
        <v>Fri</v>
      </c>
      <c r="H109" s="2" t="str">
        <f aca="false">IF(F109="","",CHOOSE(WEEKDAY(F109,2),"Mo","Tu","We","Th","Fr","Sa","Su"))</f>
        <v>Fr</v>
      </c>
      <c r="I109" s="2" t="n">
        <f aca="false">IF(F109="","",MONTH(F109))</f>
        <v>10</v>
      </c>
      <c r="J109" s="2" t="str">
        <f aca="false">IF(F109="","",TEXT(F109,"mmm"))</f>
        <v>Oct</v>
      </c>
      <c r="K109" s="2" t="n">
        <f aca="false">IF(F109="","",DAY(F109))</f>
        <v>1</v>
      </c>
      <c r="L109" s="46" t="n">
        <f aca="false">IF(F108="","",MIN(IF(MID($B$3,WEEKDAY(F108+1,2),1)="C",1,99),IF(MID($B$3,WEEKDAY(F108+2,2),1)="C",2,99),IF(MID($B$3,WEEKDAY(F108+3,2),1)="C",3,99),IF(MID($B$3,WEEKDAY(F108+4,2),1)="C",4,99),IF(MID($B$3,WEEKDAY(F108+5,2),1)="C",5,99),IF(MID($B$3,WEEKDAY(F108+6,2),1)="C",6,99),IF(MID($B$3,WEEKDAY(F108+7,2),1)="C",7,99)))</f>
        <v>2</v>
      </c>
    </row>
    <row r="110" customFormat="false" ht="13.8" hidden="false" customHeight="false" outlineLevel="0" collapsed="false">
      <c r="C110" s="2" t="n">
        <f aca="false">IF(F110="","",IF(ROW()=2,INT((F110-$B$1)/7)+1,IF(INT((F110-$B$1)/7)&lt;&gt;INT((F109-$B$1)/7),INT((F110-$B$1)/7)+1,"")))</f>
        <v>37</v>
      </c>
      <c r="D110" s="2" t="str">
        <f aca="false">IF(C110="","","W"&amp;TEXT(C110,"00"))</f>
        <v>W37</v>
      </c>
      <c r="E110" s="2" t="n">
        <f aca="false">E109+1</f>
        <v>109</v>
      </c>
      <c r="F110" s="28" t="n">
        <f aca="false">IF(L110="","",IF(F109+L110&lt;=$B$2,F109+L110,""))</f>
        <v>44473</v>
      </c>
      <c r="G110" s="1" t="str">
        <f aca="false">IF(F110="","",TEXT(F110,"ddd"))</f>
        <v>Mon</v>
      </c>
      <c r="H110" s="2" t="str">
        <f aca="false">IF(F110="","",CHOOSE(WEEKDAY(F110,2),"Mo","Tu","We","Th","Fr","Sa","Su"))</f>
        <v>Mo</v>
      </c>
      <c r="I110" s="2" t="n">
        <f aca="false">IF(F110="","",MONTH(F110))</f>
        <v>10</v>
      </c>
      <c r="J110" s="2" t="str">
        <f aca="false">IF(F110="","",TEXT(F110,"mmm"))</f>
        <v>Oct</v>
      </c>
      <c r="K110" s="2" t="n">
        <f aca="false">IF(F110="","",DAY(F110))</f>
        <v>4</v>
      </c>
      <c r="L110" s="46" t="n">
        <f aca="false">IF(F109="","",MIN(IF(MID($B$3,WEEKDAY(F109+1,2),1)="C",1,99),IF(MID($B$3,WEEKDAY(F109+2,2),1)="C",2,99),IF(MID($B$3,WEEKDAY(F109+3,2),1)="C",3,99),IF(MID($B$3,WEEKDAY(F109+4,2),1)="C",4,99),IF(MID($B$3,WEEKDAY(F109+5,2),1)="C",5,99),IF(MID($B$3,WEEKDAY(F109+6,2),1)="C",6,99),IF(MID($B$3,WEEKDAY(F109+7,2),1)="C",7,99)))</f>
        <v>3</v>
      </c>
    </row>
    <row r="111" customFormat="false" ht="13.8" hidden="false" customHeight="false" outlineLevel="0" collapsed="false">
      <c r="C111" s="2" t="str">
        <f aca="false">IF(F111="","",IF(ROW()=2,INT((F111-$B$1)/7)+1,IF(INT((F111-$B$1)/7)&lt;&gt;INT((F110-$B$1)/7),INT((F111-$B$1)/7)+1,"")))</f>
        <v/>
      </c>
      <c r="D111" s="2" t="str">
        <f aca="false">IF(C111="","","W"&amp;TEXT(C111,"00"))</f>
        <v/>
      </c>
      <c r="E111" s="2" t="n">
        <f aca="false">E110+1</f>
        <v>110</v>
      </c>
      <c r="F111" s="28" t="n">
        <f aca="false">IF(L111="","",IF(F110+L111&lt;=$B$2,F110+L111,""))</f>
        <v>44475</v>
      </c>
      <c r="G111" s="1" t="str">
        <f aca="false">IF(F111="","",TEXT(F111,"ddd"))</f>
        <v>Wed</v>
      </c>
      <c r="H111" s="2" t="str">
        <f aca="false">IF(F111="","",CHOOSE(WEEKDAY(F111,2),"Mo","Tu","We","Th","Fr","Sa","Su"))</f>
        <v>We</v>
      </c>
      <c r="I111" s="2" t="n">
        <f aca="false">IF(F111="","",MONTH(F111))</f>
        <v>10</v>
      </c>
      <c r="J111" s="2" t="str">
        <f aca="false">IF(F111="","",TEXT(F111,"mmm"))</f>
        <v>Oct</v>
      </c>
      <c r="K111" s="2" t="n">
        <f aca="false">IF(F111="","",DAY(F111))</f>
        <v>6</v>
      </c>
      <c r="L111" s="46" t="n">
        <f aca="false">IF(F110="","",MIN(IF(MID($B$3,WEEKDAY(F110+1,2),1)="C",1,99),IF(MID($B$3,WEEKDAY(F110+2,2),1)="C",2,99),IF(MID($B$3,WEEKDAY(F110+3,2),1)="C",3,99),IF(MID($B$3,WEEKDAY(F110+4,2),1)="C",4,99),IF(MID($B$3,WEEKDAY(F110+5,2),1)="C",5,99),IF(MID($B$3,WEEKDAY(F110+6,2),1)="C",6,99),IF(MID($B$3,WEEKDAY(F110+7,2),1)="C",7,99)))</f>
        <v>2</v>
      </c>
    </row>
    <row r="112" customFormat="false" ht="13.8" hidden="false" customHeight="false" outlineLevel="0" collapsed="false">
      <c r="C112" s="2" t="str">
        <f aca="false">IF(F112="","",IF(ROW()=2,INT((F112-$B$1)/7)+1,IF(INT((F112-$B$1)/7)&lt;&gt;INT((F111-$B$1)/7),INT((F112-$B$1)/7)+1,"")))</f>
        <v/>
      </c>
      <c r="D112" s="2" t="str">
        <f aca="false">IF(C112="","","W"&amp;TEXT(C112,"00"))</f>
        <v/>
      </c>
      <c r="E112" s="2" t="n">
        <f aca="false">E111+1</f>
        <v>111</v>
      </c>
      <c r="F112" s="28" t="n">
        <f aca="false">IF(L112="","",IF(F111+L112&lt;=$B$2,F111+L112,""))</f>
        <v>44477</v>
      </c>
      <c r="G112" s="1" t="str">
        <f aca="false">IF(F112="","",TEXT(F112,"ddd"))</f>
        <v>Fri</v>
      </c>
      <c r="H112" s="2" t="str">
        <f aca="false">IF(F112="","",CHOOSE(WEEKDAY(F112,2),"Mo","Tu","We","Th","Fr","Sa","Su"))</f>
        <v>Fr</v>
      </c>
      <c r="I112" s="2" t="n">
        <f aca="false">IF(F112="","",MONTH(F112))</f>
        <v>10</v>
      </c>
      <c r="J112" s="2" t="str">
        <f aca="false">IF(F112="","",TEXT(F112,"mmm"))</f>
        <v>Oct</v>
      </c>
      <c r="K112" s="2" t="n">
        <f aca="false">IF(F112="","",DAY(F112))</f>
        <v>8</v>
      </c>
      <c r="L112" s="46" t="n">
        <f aca="false">IF(F111="","",MIN(IF(MID($B$3,WEEKDAY(F111+1,2),1)="C",1,99),IF(MID($B$3,WEEKDAY(F111+2,2),1)="C",2,99),IF(MID($B$3,WEEKDAY(F111+3,2),1)="C",3,99),IF(MID($B$3,WEEKDAY(F111+4,2),1)="C",4,99),IF(MID($B$3,WEEKDAY(F111+5,2),1)="C",5,99),IF(MID($B$3,WEEKDAY(F111+6,2),1)="C",6,99),IF(MID($B$3,WEEKDAY(F111+7,2),1)="C",7,99)))</f>
        <v>2</v>
      </c>
    </row>
    <row r="113" customFormat="false" ht="13.8" hidden="false" customHeight="false" outlineLevel="0" collapsed="false">
      <c r="C113" s="2" t="n">
        <f aca="false">IF(F113="","",IF(ROW()=2,INT((F113-$B$1)/7)+1,IF(INT((F113-$B$1)/7)&lt;&gt;INT((F112-$B$1)/7),INT((F113-$B$1)/7)+1,"")))</f>
        <v>38</v>
      </c>
      <c r="D113" s="2" t="str">
        <f aca="false">IF(C113="","","W"&amp;TEXT(C113,"00"))</f>
        <v>W38</v>
      </c>
      <c r="E113" s="2" t="n">
        <f aca="false">E112+1</f>
        <v>112</v>
      </c>
      <c r="F113" s="28" t="n">
        <f aca="false">IF(L113="","",IF(F112+L113&lt;=$B$2,F112+L113,""))</f>
        <v>44480</v>
      </c>
      <c r="G113" s="1" t="str">
        <f aca="false">IF(F113="","",TEXT(F113,"ddd"))</f>
        <v>Mon</v>
      </c>
      <c r="H113" s="2" t="str">
        <f aca="false">IF(F113="","",CHOOSE(WEEKDAY(F113,2),"Mo","Tu","We","Th","Fr","Sa","Su"))</f>
        <v>Mo</v>
      </c>
      <c r="I113" s="2" t="n">
        <f aca="false">IF(F113="","",MONTH(F113))</f>
        <v>10</v>
      </c>
      <c r="J113" s="2" t="str">
        <f aca="false">IF(F113="","",TEXT(F113,"mmm"))</f>
        <v>Oct</v>
      </c>
      <c r="K113" s="2" t="n">
        <f aca="false">IF(F113="","",DAY(F113))</f>
        <v>11</v>
      </c>
      <c r="L113" s="46" t="n">
        <f aca="false">IF(F112="","",MIN(IF(MID($B$3,WEEKDAY(F112+1,2),1)="C",1,99),IF(MID($B$3,WEEKDAY(F112+2,2),1)="C",2,99),IF(MID($B$3,WEEKDAY(F112+3,2),1)="C",3,99),IF(MID($B$3,WEEKDAY(F112+4,2),1)="C",4,99),IF(MID($B$3,WEEKDAY(F112+5,2),1)="C",5,99),IF(MID($B$3,WEEKDAY(F112+6,2),1)="C",6,99),IF(MID($B$3,WEEKDAY(F112+7,2),1)="C",7,99)))</f>
        <v>3</v>
      </c>
    </row>
    <row r="114" customFormat="false" ht="13.8" hidden="false" customHeight="false" outlineLevel="0" collapsed="false">
      <c r="C114" s="2" t="str">
        <f aca="false">IF(F114="","",IF(ROW()=2,INT((F114-$B$1)/7)+1,IF(INT((F114-$B$1)/7)&lt;&gt;INT((F113-$B$1)/7),INT((F114-$B$1)/7)+1,"")))</f>
        <v/>
      </c>
      <c r="D114" s="2" t="str">
        <f aca="false">IF(C114="","","W"&amp;TEXT(C114,"00"))</f>
        <v/>
      </c>
      <c r="E114" s="2" t="n">
        <f aca="false">E113+1</f>
        <v>113</v>
      </c>
      <c r="F114" s="28" t="n">
        <f aca="false">IF(L114="","",IF(F113+L114&lt;=$B$2,F113+L114,""))</f>
        <v>44482</v>
      </c>
      <c r="G114" s="1" t="str">
        <f aca="false">IF(F114="","",TEXT(F114,"ddd"))</f>
        <v>Wed</v>
      </c>
      <c r="H114" s="2" t="str">
        <f aca="false">IF(F114="","",CHOOSE(WEEKDAY(F114,2),"Mo","Tu","We","Th","Fr","Sa","Su"))</f>
        <v>We</v>
      </c>
      <c r="I114" s="2" t="n">
        <f aca="false">IF(F114="","",MONTH(F114))</f>
        <v>10</v>
      </c>
      <c r="J114" s="2" t="str">
        <f aca="false">IF(F114="","",TEXT(F114,"mmm"))</f>
        <v>Oct</v>
      </c>
      <c r="K114" s="2" t="n">
        <f aca="false">IF(F114="","",DAY(F114))</f>
        <v>13</v>
      </c>
      <c r="L114" s="46" t="n">
        <f aca="false">IF(F113="","",MIN(IF(MID($B$3,WEEKDAY(F113+1,2),1)="C",1,99),IF(MID($B$3,WEEKDAY(F113+2,2),1)="C",2,99),IF(MID($B$3,WEEKDAY(F113+3,2),1)="C",3,99),IF(MID($B$3,WEEKDAY(F113+4,2),1)="C",4,99),IF(MID($B$3,WEEKDAY(F113+5,2),1)="C",5,99),IF(MID($B$3,WEEKDAY(F113+6,2),1)="C",6,99),IF(MID($B$3,WEEKDAY(F113+7,2),1)="C",7,99)))</f>
        <v>2</v>
      </c>
    </row>
    <row r="115" customFormat="false" ht="13.8" hidden="false" customHeight="false" outlineLevel="0" collapsed="false">
      <c r="C115" s="2" t="str">
        <f aca="false">IF(F115="","",IF(ROW()=2,INT((F115-$B$1)/7)+1,IF(INT((F115-$B$1)/7)&lt;&gt;INT((F114-$B$1)/7),INT((F115-$B$1)/7)+1,"")))</f>
        <v/>
      </c>
      <c r="D115" s="2" t="str">
        <f aca="false">IF(C115="","","W"&amp;TEXT(C115,"00"))</f>
        <v/>
      </c>
      <c r="E115" s="2" t="n">
        <f aca="false">E114+1</f>
        <v>114</v>
      </c>
      <c r="F115" s="28" t="n">
        <f aca="false">IF(L115="","",IF(F114+L115&lt;=$B$2,F114+L115,""))</f>
        <v>44484</v>
      </c>
      <c r="G115" s="1" t="str">
        <f aca="false">IF(F115="","",TEXT(F115,"ddd"))</f>
        <v>Fri</v>
      </c>
      <c r="H115" s="2" t="str">
        <f aca="false">IF(F115="","",CHOOSE(WEEKDAY(F115,2),"Mo","Tu","We","Th","Fr","Sa","Su"))</f>
        <v>Fr</v>
      </c>
      <c r="I115" s="2" t="n">
        <f aca="false">IF(F115="","",MONTH(F115))</f>
        <v>10</v>
      </c>
      <c r="J115" s="2" t="str">
        <f aca="false">IF(F115="","",TEXT(F115,"mmm"))</f>
        <v>Oct</v>
      </c>
      <c r="K115" s="2" t="n">
        <f aca="false">IF(F115="","",DAY(F115))</f>
        <v>15</v>
      </c>
      <c r="L115" s="46" t="n">
        <f aca="false">IF(F114="","",MIN(IF(MID($B$3,WEEKDAY(F114+1,2),1)="C",1,99),IF(MID($B$3,WEEKDAY(F114+2,2),1)="C",2,99),IF(MID($B$3,WEEKDAY(F114+3,2),1)="C",3,99),IF(MID($B$3,WEEKDAY(F114+4,2),1)="C",4,99),IF(MID($B$3,WEEKDAY(F114+5,2),1)="C",5,99),IF(MID($B$3,WEEKDAY(F114+6,2),1)="C",6,99),IF(MID($B$3,WEEKDAY(F114+7,2),1)="C",7,99)))</f>
        <v>2</v>
      </c>
    </row>
    <row r="116" customFormat="false" ht="13.8" hidden="false" customHeight="false" outlineLevel="0" collapsed="false">
      <c r="C116" s="2" t="n">
        <f aca="false">IF(F116="","",IF(ROW()=2,INT((F116-$B$1)/7)+1,IF(INT((F116-$B$1)/7)&lt;&gt;INT((F115-$B$1)/7),INT((F116-$B$1)/7)+1,"")))</f>
        <v>39</v>
      </c>
      <c r="D116" s="2" t="str">
        <f aca="false">IF(C116="","","W"&amp;TEXT(C116,"00"))</f>
        <v>W39</v>
      </c>
      <c r="E116" s="2" t="n">
        <f aca="false">E115+1</f>
        <v>115</v>
      </c>
      <c r="F116" s="28" t="n">
        <f aca="false">IF(L116="","",IF(F115+L116&lt;=$B$2,F115+L116,""))</f>
        <v>44487</v>
      </c>
      <c r="G116" s="1" t="str">
        <f aca="false">IF(F116="","",TEXT(F116,"ddd"))</f>
        <v>Mon</v>
      </c>
      <c r="H116" s="2" t="str">
        <f aca="false">IF(F116="","",CHOOSE(WEEKDAY(F116,2),"Mo","Tu","We","Th","Fr","Sa","Su"))</f>
        <v>Mo</v>
      </c>
      <c r="I116" s="2" t="n">
        <f aca="false">IF(F116="","",MONTH(F116))</f>
        <v>10</v>
      </c>
      <c r="J116" s="2" t="str">
        <f aca="false">IF(F116="","",TEXT(F116,"mmm"))</f>
        <v>Oct</v>
      </c>
      <c r="K116" s="2" t="n">
        <f aca="false">IF(F116="","",DAY(F116))</f>
        <v>18</v>
      </c>
      <c r="L116" s="46" t="n">
        <f aca="false">IF(F115="","",MIN(IF(MID($B$3,WEEKDAY(F115+1,2),1)="C",1,99),IF(MID($B$3,WEEKDAY(F115+2,2),1)="C",2,99),IF(MID($B$3,WEEKDAY(F115+3,2),1)="C",3,99),IF(MID($B$3,WEEKDAY(F115+4,2),1)="C",4,99),IF(MID($B$3,WEEKDAY(F115+5,2),1)="C",5,99),IF(MID($B$3,WEEKDAY(F115+6,2),1)="C",6,99),IF(MID($B$3,WEEKDAY(F115+7,2),1)="C",7,99)))</f>
        <v>3</v>
      </c>
    </row>
    <row r="117" customFormat="false" ht="13.8" hidden="false" customHeight="false" outlineLevel="0" collapsed="false">
      <c r="C117" s="2" t="str">
        <f aca="false">IF(F117="","",IF(ROW()=2,INT((F117-$B$1)/7)+1,IF(INT((F117-$B$1)/7)&lt;&gt;INT((F116-$B$1)/7),INT((F117-$B$1)/7)+1,"")))</f>
        <v/>
      </c>
      <c r="D117" s="2" t="str">
        <f aca="false">IF(C117="","","W"&amp;TEXT(C117,"00"))</f>
        <v/>
      </c>
      <c r="E117" s="2" t="n">
        <f aca="false">E116+1</f>
        <v>116</v>
      </c>
      <c r="F117" s="28" t="n">
        <f aca="false">IF(L117="","",IF(F116+L117&lt;=$B$2,F116+L117,""))</f>
        <v>44489</v>
      </c>
      <c r="G117" s="1" t="str">
        <f aca="false">IF(F117="","",TEXT(F117,"ddd"))</f>
        <v>Wed</v>
      </c>
      <c r="H117" s="2" t="str">
        <f aca="false">IF(F117="","",CHOOSE(WEEKDAY(F117,2),"Mo","Tu","We","Th","Fr","Sa","Su"))</f>
        <v>We</v>
      </c>
      <c r="I117" s="2" t="n">
        <f aca="false">IF(F117="","",MONTH(F117))</f>
        <v>10</v>
      </c>
      <c r="J117" s="2" t="str">
        <f aca="false">IF(F117="","",TEXT(F117,"mmm"))</f>
        <v>Oct</v>
      </c>
      <c r="K117" s="2" t="n">
        <f aca="false">IF(F117="","",DAY(F117))</f>
        <v>20</v>
      </c>
      <c r="L117" s="46" t="n">
        <f aca="false">IF(F116="","",MIN(IF(MID($B$3,WEEKDAY(F116+1,2),1)="C",1,99),IF(MID($B$3,WEEKDAY(F116+2,2),1)="C",2,99),IF(MID($B$3,WEEKDAY(F116+3,2),1)="C",3,99),IF(MID($B$3,WEEKDAY(F116+4,2),1)="C",4,99),IF(MID($B$3,WEEKDAY(F116+5,2),1)="C",5,99),IF(MID($B$3,WEEKDAY(F116+6,2),1)="C",6,99),IF(MID($B$3,WEEKDAY(F116+7,2),1)="C",7,99)))</f>
        <v>2</v>
      </c>
    </row>
    <row r="118" customFormat="false" ht="13.8" hidden="false" customHeight="false" outlineLevel="0" collapsed="false">
      <c r="C118" s="2" t="str">
        <f aca="false">IF(F118="","",IF(ROW()=2,INT((F118-$B$1)/7)+1,IF(INT((F118-$B$1)/7)&lt;&gt;INT((F117-$B$1)/7),INT((F118-$B$1)/7)+1,"")))</f>
        <v/>
      </c>
      <c r="D118" s="2" t="str">
        <f aca="false">IF(C118="","","W"&amp;TEXT(C118,"00"))</f>
        <v/>
      </c>
      <c r="E118" s="2" t="n">
        <f aca="false">E117+1</f>
        <v>117</v>
      </c>
      <c r="F118" s="28" t="n">
        <f aca="false">IF(L118="","",IF(F117+L118&lt;=$B$2,F117+L118,""))</f>
        <v>44491</v>
      </c>
      <c r="G118" s="1" t="str">
        <f aca="false">IF(F118="","",TEXT(F118,"ddd"))</f>
        <v>Fri</v>
      </c>
      <c r="H118" s="2" t="str">
        <f aca="false">IF(F118="","",CHOOSE(WEEKDAY(F118,2),"Mo","Tu","We","Th","Fr","Sa","Su"))</f>
        <v>Fr</v>
      </c>
      <c r="I118" s="2" t="n">
        <f aca="false">IF(F118="","",MONTH(F118))</f>
        <v>10</v>
      </c>
      <c r="J118" s="2" t="str">
        <f aca="false">IF(F118="","",TEXT(F118,"mmm"))</f>
        <v>Oct</v>
      </c>
      <c r="K118" s="2" t="n">
        <f aca="false">IF(F118="","",DAY(F118))</f>
        <v>22</v>
      </c>
      <c r="L118" s="46" t="n">
        <f aca="false">IF(F117="","",MIN(IF(MID($B$3,WEEKDAY(F117+1,2),1)="C",1,99),IF(MID($B$3,WEEKDAY(F117+2,2),1)="C",2,99),IF(MID($B$3,WEEKDAY(F117+3,2),1)="C",3,99),IF(MID($B$3,WEEKDAY(F117+4,2),1)="C",4,99),IF(MID($B$3,WEEKDAY(F117+5,2),1)="C",5,99),IF(MID($B$3,WEEKDAY(F117+6,2),1)="C",6,99),IF(MID($B$3,WEEKDAY(F117+7,2),1)="C",7,99)))</f>
        <v>2</v>
      </c>
    </row>
    <row r="119" customFormat="false" ht="13.8" hidden="false" customHeight="false" outlineLevel="0" collapsed="false">
      <c r="C119" s="2" t="n">
        <f aca="false">IF(F119="","",IF(ROW()=2,INT((F119-$B$1)/7)+1,IF(INT((F119-$B$1)/7)&lt;&gt;INT((F118-$B$1)/7),INT((F119-$B$1)/7)+1,"")))</f>
        <v>40</v>
      </c>
      <c r="D119" s="2" t="str">
        <f aca="false">IF(C119="","","W"&amp;TEXT(C119,"00"))</f>
        <v>W40</v>
      </c>
      <c r="E119" s="2" t="n">
        <f aca="false">E118+1</f>
        <v>118</v>
      </c>
      <c r="F119" s="28" t="n">
        <f aca="false">IF(L119="","",IF(F118+L119&lt;=$B$2,F118+L119,""))</f>
        <v>44494</v>
      </c>
      <c r="G119" s="1" t="str">
        <f aca="false">IF(F119="","",TEXT(F119,"ddd"))</f>
        <v>Mon</v>
      </c>
      <c r="H119" s="2" t="str">
        <f aca="false">IF(F119="","",CHOOSE(WEEKDAY(F119,2),"Mo","Tu","We","Th","Fr","Sa","Su"))</f>
        <v>Mo</v>
      </c>
      <c r="I119" s="2" t="n">
        <f aca="false">IF(F119="","",MONTH(F119))</f>
        <v>10</v>
      </c>
      <c r="J119" s="2" t="str">
        <f aca="false">IF(F119="","",TEXT(F119,"mmm"))</f>
        <v>Oct</v>
      </c>
      <c r="K119" s="2" t="n">
        <f aca="false">IF(F119="","",DAY(F119))</f>
        <v>25</v>
      </c>
      <c r="L119" s="46" t="n">
        <f aca="false">IF(F118="","",MIN(IF(MID($B$3,WEEKDAY(F118+1,2),1)="C",1,99),IF(MID($B$3,WEEKDAY(F118+2,2),1)="C",2,99),IF(MID($B$3,WEEKDAY(F118+3,2),1)="C",3,99),IF(MID($B$3,WEEKDAY(F118+4,2),1)="C",4,99),IF(MID($B$3,WEEKDAY(F118+5,2),1)="C",5,99),IF(MID($B$3,WEEKDAY(F118+6,2),1)="C",6,99),IF(MID($B$3,WEEKDAY(F118+7,2),1)="C",7,99)))</f>
        <v>3</v>
      </c>
    </row>
    <row r="120" customFormat="false" ht="13.8" hidden="false" customHeight="false" outlineLevel="0" collapsed="false">
      <c r="C120" s="2" t="str">
        <f aca="false">IF(F120="","",IF(ROW()=2,INT((F120-$B$1)/7)+1,IF(INT((F120-$B$1)/7)&lt;&gt;INT((F119-$B$1)/7),INT((F120-$B$1)/7)+1,"")))</f>
        <v/>
      </c>
      <c r="D120" s="2" t="str">
        <f aca="false">IF(C120="","","W"&amp;TEXT(C120,"00"))</f>
        <v/>
      </c>
      <c r="E120" s="2" t="n">
        <f aca="false">E119+1</f>
        <v>119</v>
      </c>
      <c r="F120" s="28" t="n">
        <f aca="false">IF(L120="","",IF(F119+L120&lt;=$B$2,F119+L120,""))</f>
        <v>44496</v>
      </c>
      <c r="G120" s="1" t="str">
        <f aca="false">IF(F120="","",TEXT(F120,"ddd"))</f>
        <v>Wed</v>
      </c>
      <c r="H120" s="2" t="str">
        <f aca="false">IF(F120="","",CHOOSE(WEEKDAY(F120,2),"Mo","Tu","We","Th","Fr","Sa","Su"))</f>
        <v>We</v>
      </c>
      <c r="I120" s="2" t="n">
        <f aca="false">IF(F120="","",MONTH(F120))</f>
        <v>10</v>
      </c>
      <c r="J120" s="2" t="str">
        <f aca="false">IF(F120="","",TEXT(F120,"mmm"))</f>
        <v>Oct</v>
      </c>
      <c r="K120" s="2" t="n">
        <f aca="false">IF(F120="","",DAY(F120))</f>
        <v>27</v>
      </c>
      <c r="L120" s="46" t="n">
        <f aca="false">IF(F119="","",MIN(IF(MID($B$3,WEEKDAY(F119+1,2),1)="C",1,99),IF(MID($B$3,WEEKDAY(F119+2,2),1)="C",2,99),IF(MID($B$3,WEEKDAY(F119+3,2),1)="C",3,99),IF(MID($B$3,WEEKDAY(F119+4,2),1)="C",4,99),IF(MID($B$3,WEEKDAY(F119+5,2),1)="C",5,99),IF(MID($B$3,WEEKDAY(F119+6,2),1)="C",6,99),IF(MID($B$3,WEEKDAY(F119+7,2),1)="C",7,99)))</f>
        <v>2</v>
      </c>
    </row>
    <row r="121" customFormat="false" ht="13.8" hidden="false" customHeight="false" outlineLevel="0" collapsed="false">
      <c r="C121" s="2" t="str">
        <f aca="false">IF(F121="","",IF(ROW()=2,INT((F121-$B$1)/7)+1,IF(INT((F121-$B$1)/7)&lt;&gt;INT((F120-$B$1)/7),INT((F121-$B$1)/7)+1,"")))</f>
        <v/>
      </c>
      <c r="D121" s="2" t="str">
        <f aca="false">IF(C121="","","W"&amp;TEXT(C121,"00"))</f>
        <v/>
      </c>
      <c r="E121" s="2" t="n">
        <f aca="false">E120+1</f>
        <v>120</v>
      </c>
      <c r="F121" s="28" t="n">
        <f aca="false">IF(L121="","",IF(F120+L121&lt;=$B$2,F120+L121,""))</f>
        <v>44498</v>
      </c>
      <c r="G121" s="1" t="str">
        <f aca="false">IF(F121="","",TEXT(F121,"ddd"))</f>
        <v>Fri</v>
      </c>
      <c r="H121" s="2" t="str">
        <f aca="false">IF(F121="","",CHOOSE(WEEKDAY(F121,2),"Mo","Tu","We","Th","Fr","Sa","Su"))</f>
        <v>Fr</v>
      </c>
      <c r="I121" s="2" t="n">
        <f aca="false">IF(F121="","",MONTH(F121))</f>
        <v>10</v>
      </c>
      <c r="J121" s="2" t="str">
        <f aca="false">IF(F121="","",TEXT(F121,"mmm"))</f>
        <v>Oct</v>
      </c>
      <c r="K121" s="2" t="n">
        <f aca="false">IF(F121="","",DAY(F121))</f>
        <v>29</v>
      </c>
      <c r="L121" s="46" t="n">
        <f aca="false">IF(F120="","",MIN(IF(MID($B$3,WEEKDAY(F120+1,2),1)="C",1,99),IF(MID($B$3,WEEKDAY(F120+2,2),1)="C",2,99),IF(MID($B$3,WEEKDAY(F120+3,2),1)="C",3,99),IF(MID($B$3,WEEKDAY(F120+4,2),1)="C",4,99),IF(MID($B$3,WEEKDAY(F120+5,2),1)="C",5,99),IF(MID($B$3,WEEKDAY(F120+6,2),1)="C",6,99),IF(MID($B$3,WEEKDAY(F120+7,2),1)="C",7,99)))</f>
        <v>2</v>
      </c>
    </row>
    <row r="122" customFormat="false" ht="13.8" hidden="false" customHeight="false" outlineLevel="0" collapsed="false">
      <c r="C122" s="2" t="n">
        <f aca="false">IF(F122="","",IF(ROW()=2,INT((F122-$B$1)/7)+1,IF(INT((F122-$B$1)/7)&lt;&gt;INT((F121-$B$1)/7),INT((F122-$B$1)/7)+1,"")))</f>
        <v>41</v>
      </c>
      <c r="D122" s="2" t="str">
        <f aca="false">IF(C122="","","W"&amp;TEXT(C122,"00"))</f>
        <v>W41</v>
      </c>
      <c r="E122" s="2" t="n">
        <f aca="false">E121+1</f>
        <v>121</v>
      </c>
      <c r="F122" s="28" t="n">
        <f aca="false">IF(L122="","",IF(F121+L122&lt;=$B$2,F121+L122,""))</f>
        <v>44501</v>
      </c>
      <c r="G122" s="1" t="str">
        <f aca="false">IF(F122="","",TEXT(F122,"ddd"))</f>
        <v>Mon</v>
      </c>
      <c r="H122" s="2" t="str">
        <f aca="false">IF(F122="","",CHOOSE(WEEKDAY(F122,2),"Mo","Tu","We","Th","Fr","Sa","Su"))</f>
        <v>Mo</v>
      </c>
      <c r="I122" s="2" t="n">
        <f aca="false">IF(F122="","",MONTH(F122))</f>
        <v>11</v>
      </c>
      <c r="J122" s="2" t="str">
        <f aca="false">IF(F122="","",TEXT(F122,"mmm"))</f>
        <v>Nov</v>
      </c>
      <c r="K122" s="2" t="n">
        <f aca="false">IF(F122="","",DAY(F122))</f>
        <v>1</v>
      </c>
      <c r="L122" s="46" t="n">
        <f aca="false">IF(F121="","",MIN(IF(MID($B$3,WEEKDAY(F121+1,2),1)="C",1,99),IF(MID($B$3,WEEKDAY(F121+2,2),1)="C",2,99),IF(MID($B$3,WEEKDAY(F121+3,2),1)="C",3,99),IF(MID($B$3,WEEKDAY(F121+4,2),1)="C",4,99),IF(MID($B$3,WEEKDAY(F121+5,2),1)="C",5,99),IF(MID($B$3,WEEKDAY(F121+6,2),1)="C",6,99),IF(MID($B$3,WEEKDAY(F121+7,2),1)="C",7,99)))</f>
        <v>3</v>
      </c>
    </row>
    <row r="123" customFormat="false" ht="13.8" hidden="false" customHeight="false" outlineLevel="0" collapsed="false">
      <c r="C123" s="2" t="str">
        <f aca="false">IF(F123="","",IF(ROW()=2,INT((F123-$B$1)/7)+1,IF(INT((F123-$B$1)/7)&lt;&gt;INT((F122-$B$1)/7),INT((F123-$B$1)/7)+1,"")))</f>
        <v/>
      </c>
      <c r="D123" s="2" t="str">
        <f aca="false">IF(C123="","","W"&amp;TEXT(C123,"00"))</f>
        <v/>
      </c>
      <c r="E123" s="2" t="n">
        <f aca="false">E122+1</f>
        <v>122</v>
      </c>
      <c r="F123" s="28" t="n">
        <f aca="false">IF(L123="","",IF(F122+L123&lt;=$B$2,F122+L123,""))</f>
        <v>44503</v>
      </c>
      <c r="G123" s="1" t="str">
        <f aca="false">IF(F123="","",TEXT(F123,"ddd"))</f>
        <v>Wed</v>
      </c>
      <c r="H123" s="2" t="str">
        <f aca="false">IF(F123="","",CHOOSE(WEEKDAY(F123,2),"Mo","Tu","We","Th","Fr","Sa","Su"))</f>
        <v>We</v>
      </c>
      <c r="I123" s="2" t="n">
        <f aca="false">IF(F123="","",MONTH(F123))</f>
        <v>11</v>
      </c>
      <c r="J123" s="2" t="str">
        <f aca="false">IF(F123="","",TEXT(F123,"mmm"))</f>
        <v>Nov</v>
      </c>
      <c r="K123" s="2" t="n">
        <f aca="false">IF(F123="","",DAY(F123))</f>
        <v>3</v>
      </c>
      <c r="L123" s="46" t="n">
        <f aca="false">IF(F122="","",MIN(IF(MID($B$3,WEEKDAY(F122+1,2),1)="C",1,99),IF(MID($B$3,WEEKDAY(F122+2,2),1)="C",2,99),IF(MID($B$3,WEEKDAY(F122+3,2),1)="C",3,99),IF(MID($B$3,WEEKDAY(F122+4,2),1)="C",4,99),IF(MID($B$3,WEEKDAY(F122+5,2),1)="C",5,99),IF(MID($B$3,WEEKDAY(F122+6,2),1)="C",6,99),IF(MID($B$3,WEEKDAY(F122+7,2),1)="C",7,99)))</f>
        <v>2</v>
      </c>
    </row>
    <row r="124" customFormat="false" ht="13.8" hidden="false" customHeight="false" outlineLevel="0" collapsed="false">
      <c r="C124" s="2" t="str">
        <f aca="false">IF(F124="","",IF(ROW()=2,INT((F124-$B$1)/7)+1,IF(INT((F124-$B$1)/7)&lt;&gt;INT((F123-$B$1)/7),INT((F124-$B$1)/7)+1,"")))</f>
        <v/>
      </c>
      <c r="D124" s="2" t="str">
        <f aca="false">IF(C124="","","W"&amp;TEXT(C124,"00"))</f>
        <v/>
      </c>
      <c r="E124" s="2" t="n">
        <f aca="false">E123+1</f>
        <v>123</v>
      </c>
      <c r="F124" s="28" t="n">
        <f aca="false">IF(L124="","",IF(F123+L124&lt;=$B$2,F123+L124,""))</f>
        <v>44505</v>
      </c>
      <c r="G124" s="1" t="str">
        <f aca="false">IF(F124="","",TEXT(F124,"ddd"))</f>
        <v>Fri</v>
      </c>
      <c r="H124" s="2" t="str">
        <f aca="false">IF(F124="","",CHOOSE(WEEKDAY(F124,2),"Mo","Tu","We","Th","Fr","Sa","Su"))</f>
        <v>Fr</v>
      </c>
      <c r="I124" s="2" t="n">
        <f aca="false">IF(F124="","",MONTH(F124))</f>
        <v>11</v>
      </c>
      <c r="J124" s="2" t="str">
        <f aca="false">IF(F124="","",TEXT(F124,"mmm"))</f>
        <v>Nov</v>
      </c>
      <c r="K124" s="2" t="n">
        <f aca="false">IF(F124="","",DAY(F124))</f>
        <v>5</v>
      </c>
      <c r="L124" s="46" t="n">
        <f aca="false">IF(F123="","",MIN(IF(MID($B$3,WEEKDAY(F123+1,2),1)="C",1,99),IF(MID($B$3,WEEKDAY(F123+2,2),1)="C",2,99),IF(MID($B$3,WEEKDAY(F123+3,2),1)="C",3,99),IF(MID($B$3,WEEKDAY(F123+4,2),1)="C",4,99),IF(MID($B$3,WEEKDAY(F123+5,2),1)="C",5,99),IF(MID($B$3,WEEKDAY(F123+6,2),1)="C",6,99),IF(MID($B$3,WEEKDAY(F123+7,2),1)="C",7,99)))</f>
        <v>2</v>
      </c>
    </row>
    <row r="125" customFormat="false" ht="13.8" hidden="false" customHeight="false" outlineLevel="0" collapsed="false">
      <c r="C125" s="2" t="n">
        <f aca="false">IF(F125="","",IF(ROW()=2,INT((F125-$B$1)/7)+1,IF(INT((F125-$B$1)/7)&lt;&gt;INT((F124-$B$1)/7),INT((F125-$B$1)/7)+1,"")))</f>
        <v>42</v>
      </c>
      <c r="D125" s="2" t="str">
        <f aca="false">IF(C125="","","W"&amp;TEXT(C125,"00"))</f>
        <v>W42</v>
      </c>
      <c r="E125" s="2" t="n">
        <f aca="false">E124+1</f>
        <v>124</v>
      </c>
      <c r="F125" s="28" t="n">
        <f aca="false">IF(L125="","",IF(F124+L125&lt;=$B$2,F124+L125,""))</f>
        <v>44508</v>
      </c>
      <c r="G125" s="1" t="str">
        <f aca="false">IF(F125="","",TEXT(F125,"ddd"))</f>
        <v>Mon</v>
      </c>
      <c r="H125" s="2" t="str">
        <f aca="false">IF(F125="","",CHOOSE(WEEKDAY(F125,2),"Mo","Tu","We","Th","Fr","Sa","Su"))</f>
        <v>Mo</v>
      </c>
      <c r="I125" s="2" t="n">
        <f aca="false">IF(F125="","",MONTH(F125))</f>
        <v>11</v>
      </c>
      <c r="J125" s="2" t="str">
        <f aca="false">IF(F125="","",TEXT(F125,"mmm"))</f>
        <v>Nov</v>
      </c>
      <c r="K125" s="2" t="n">
        <f aca="false">IF(F125="","",DAY(F125))</f>
        <v>8</v>
      </c>
      <c r="L125" s="46" t="n">
        <f aca="false">IF(F124="","",MIN(IF(MID($B$3,WEEKDAY(F124+1,2),1)="C",1,99),IF(MID($B$3,WEEKDAY(F124+2,2),1)="C",2,99),IF(MID($B$3,WEEKDAY(F124+3,2),1)="C",3,99),IF(MID($B$3,WEEKDAY(F124+4,2),1)="C",4,99),IF(MID($B$3,WEEKDAY(F124+5,2),1)="C",5,99),IF(MID($B$3,WEEKDAY(F124+6,2),1)="C",6,99),IF(MID($B$3,WEEKDAY(F124+7,2),1)="C",7,99)))</f>
        <v>3</v>
      </c>
    </row>
    <row r="126" customFormat="false" ht="13.8" hidden="false" customHeight="false" outlineLevel="0" collapsed="false">
      <c r="C126" s="2" t="str">
        <f aca="false">IF(F126="","",IF(ROW()=2,INT((F126-$B$1)/7)+1,IF(INT((F126-$B$1)/7)&lt;&gt;INT((F125-$B$1)/7),INT((F126-$B$1)/7)+1,"")))</f>
        <v/>
      </c>
      <c r="D126" s="2" t="str">
        <f aca="false">IF(C126="","","W"&amp;TEXT(C126,"00"))</f>
        <v/>
      </c>
      <c r="E126" s="2" t="n">
        <f aca="false">E125+1</f>
        <v>125</v>
      </c>
      <c r="F126" s="28" t="n">
        <f aca="false">IF(L126="","",IF(F125+L126&lt;=$B$2,F125+L126,""))</f>
        <v>44510</v>
      </c>
      <c r="G126" s="1" t="str">
        <f aca="false">IF(F126="","",TEXT(F126,"ddd"))</f>
        <v>Wed</v>
      </c>
      <c r="H126" s="2" t="str">
        <f aca="false">IF(F126="","",CHOOSE(WEEKDAY(F126,2),"Mo","Tu","We","Th","Fr","Sa","Su"))</f>
        <v>We</v>
      </c>
      <c r="I126" s="2" t="n">
        <f aca="false">IF(F126="","",MONTH(F126))</f>
        <v>11</v>
      </c>
      <c r="J126" s="2" t="str">
        <f aca="false">IF(F126="","",TEXT(F126,"mmm"))</f>
        <v>Nov</v>
      </c>
      <c r="K126" s="2" t="n">
        <f aca="false">IF(F126="","",DAY(F126))</f>
        <v>10</v>
      </c>
      <c r="L126" s="46" t="n">
        <f aca="false">IF(F125="","",MIN(IF(MID($B$3,WEEKDAY(F125+1,2),1)="C",1,99),IF(MID($B$3,WEEKDAY(F125+2,2),1)="C",2,99),IF(MID($B$3,WEEKDAY(F125+3,2),1)="C",3,99),IF(MID($B$3,WEEKDAY(F125+4,2),1)="C",4,99),IF(MID($B$3,WEEKDAY(F125+5,2),1)="C",5,99),IF(MID($B$3,WEEKDAY(F125+6,2),1)="C",6,99),IF(MID($B$3,WEEKDAY(F125+7,2),1)="C",7,99)))</f>
        <v>2</v>
      </c>
    </row>
    <row r="127" customFormat="false" ht="13.8" hidden="false" customHeight="false" outlineLevel="0" collapsed="false">
      <c r="C127" s="2" t="str">
        <f aca="false">IF(F127="","",IF(ROW()=2,INT((F127-$B$1)/7)+1,IF(INT((F127-$B$1)/7)&lt;&gt;INT((F126-$B$1)/7),INT((F127-$B$1)/7)+1,"")))</f>
        <v/>
      </c>
      <c r="D127" s="2" t="str">
        <f aca="false">IF(C127="","","W"&amp;TEXT(C127,"00"))</f>
        <v/>
      </c>
      <c r="E127" s="2" t="n">
        <f aca="false">E126+1</f>
        <v>126</v>
      </c>
      <c r="F127" s="28" t="n">
        <f aca="false">IF(L127="","",IF(F126+L127&lt;=$B$2,F126+L127,""))</f>
        <v>44512</v>
      </c>
      <c r="G127" s="1" t="str">
        <f aca="false">IF(F127="","",TEXT(F127,"ddd"))</f>
        <v>Fri</v>
      </c>
      <c r="H127" s="2" t="str">
        <f aca="false">IF(F127="","",CHOOSE(WEEKDAY(F127,2),"Mo","Tu","We","Th","Fr","Sa","Su"))</f>
        <v>Fr</v>
      </c>
      <c r="I127" s="2" t="n">
        <f aca="false">IF(F127="","",MONTH(F127))</f>
        <v>11</v>
      </c>
      <c r="J127" s="2" t="str">
        <f aca="false">IF(F127="","",TEXT(F127,"mmm"))</f>
        <v>Nov</v>
      </c>
      <c r="K127" s="2" t="n">
        <f aca="false">IF(F127="","",DAY(F127))</f>
        <v>12</v>
      </c>
      <c r="L127" s="46" t="n">
        <f aca="false">IF(F126="","",MIN(IF(MID($B$3,WEEKDAY(F126+1,2),1)="C",1,99),IF(MID($B$3,WEEKDAY(F126+2,2),1)="C",2,99),IF(MID($B$3,WEEKDAY(F126+3,2),1)="C",3,99),IF(MID($B$3,WEEKDAY(F126+4,2),1)="C",4,99),IF(MID($B$3,WEEKDAY(F126+5,2),1)="C",5,99),IF(MID($B$3,WEEKDAY(F126+6,2),1)="C",6,99),IF(MID($B$3,WEEKDAY(F126+7,2),1)="C",7,99)))</f>
        <v>2</v>
      </c>
    </row>
    <row r="128" customFormat="false" ht="13.8" hidden="false" customHeight="false" outlineLevel="0" collapsed="false">
      <c r="C128" s="2" t="n">
        <f aca="false">IF(F128="","",IF(ROW()=2,INT((F128-$B$1)/7)+1,IF(INT((F128-$B$1)/7)&lt;&gt;INT((F127-$B$1)/7),INT((F128-$B$1)/7)+1,"")))</f>
        <v>43</v>
      </c>
      <c r="D128" s="2" t="str">
        <f aca="false">IF(C128="","","W"&amp;TEXT(C128,"00"))</f>
        <v>W43</v>
      </c>
      <c r="E128" s="2" t="n">
        <f aca="false">E127+1</f>
        <v>127</v>
      </c>
      <c r="F128" s="28" t="n">
        <f aca="false">IF(L128="","",IF(F127+L128&lt;=$B$2,F127+L128,""))</f>
        <v>44515</v>
      </c>
      <c r="G128" s="1" t="str">
        <f aca="false">IF(F128="","",TEXT(F128,"ddd"))</f>
        <v>Mon</v>
      </c>
      <c r="H128" s="2" t="str">
        <f aca="false">IF(F128="","",CHOOSE(WEEKDAY(F128,2),"Mo","Tu","We","Th","Fr","Sa","Su"))</f>
        <v>Mo</v>
      </c>
      <c r="I128" s="2" t="n">
        <f aca="false">IF(F128="","",MONTH(F128))</f>
        <v>11</v>
      </c>
      <c r="J128" s="2" t="str">
        <f aca="false">IF(F128="","",TEXT(F128,"mmm"))</f>
        <v>Nov</v>
      </c>
      <c r="K128" s="2" t="n">
        <f aca="false">IF(F128="","",DAY(F128))</f>
        <v>15</v>
      </c>
      <c r="L128" s="46" t="n">
        <f aca="false">IF(F127="","",MIN(IF(MID($B$3,WEEKDAY(F127+1,2),1)="C",1,99),IF(MID($B$3,WEEKDAY(F127+2,2),1)="C",2,99),IF(MID($B$3,WEEKDAY(F127+3,2),1)="C",3,99),IF(MID($B$3,WEEKDAY(F127+4,2),1)="C",4,99),IF(MID($B$3,WEEKDAY(F127+5,2),1)="C",5,99),IF(MID($B$3,WEEKDAY(F127+6,2),1)="C",6,99),IF(MID($B$3,WEEKDAY(F127+7,2),1)="C",7,99)))</f>
        <v>3</v>
      </c>
    </row>
    <row r="129" customFormat="false" ht="13.8" hidden="false" customHeight="false" outlineLevel="0" collapsed="false">
      <c r="C129" s="2" t="str">
        <f aca="false">IF(F129="","",IF(ROW()=2,INT((F129-$B$1)/7)+1,IF(INT((F129-$B$1)/7)&lt;&gt;INT((F128-$B$1)/7),INT((F129-$B$1)/7)+1,"")))</f>
        <v/>
      </c>
      <c r="D129" s="2" t="str">
        <f aca="false">IF(C129="","","W"&amp;TEXT(C129,"00"))</f>
        <v/>
      </c>
      <c r="E129" s="2" t="n">
        <f aca="false">E128+1</f>
        <v>128</v>
      </c>
      <c r="F129" s="28" t="n">
        <f aca="false">IF(L129="","",IF(F128+L129&lt;=$B$2,F128+L129,""))</f>
        <v>44517</v>
      </c>
      <c r="G129" s="1" t="str">
        <f aca="false">IF(F129="","",TEXT(F129,"ddd"))</f>
        <v>Wed</v>
      </c>
      <c r="H129" s="2" t="str">
        <f aca="false">IF(F129="","",CHOOSE(WEEKDAY(F129,2),"Mo","Tu","We","Th","Fr","Sa","Su"))</f>
        <v>We</v>
      </c>
      <c r="I129" s="2" t="n">
        <f aca="false">IF(F129="","",MONTH(F129))</f>
        <v>11</v>
      </c>
      <c r="J129" s="2" t="str">
        <f aca="false">IF(F129="","",TEXT(F129,"mmm"))</f>
        <v>Nov</v>
      </c>
      <c r="K129" s="2" t="n">
        <f aca="false">IF(F129="","",DAY(F129))</f>
        <v>17</v>
      </c>
      <c r="L129" s="46" t="n">
        <f aca="false">IF(F128="","",MIN(IF(MID($B$3,WEEKDAY(F128+1,2),1)="C",1,99),IF(MID($B$3,WEEKDAY(F128+2,2),1)="C",2,99),IF(MID($B$3,WEEKDAY(F128+3,2),1)="C",3,99),IF(MID($B$3,WEEKDAY(F128+4,2),1)="C",4,99),IF(MID($B$3,WEEKDAY(F128+5,2),1)="C",5,99),IF(MID($B$3,WEEKDAY(F128+6,2),1)="C",6,99),IF(MID($B$3,WEEKDAY(F128+7,2),1)="C",7,99)))</f>
        <v>2</v>
      </c>
    </row>
    <row r="130" customFormat="false" ht="13.8" hidden="false" customHeight="false" outlineLevel="0" collapsed="false">
      <c r="C130" s="2" t="str">
        <f aca="false">IF(F130="","",IF(ROW()=2,INT((F130-$B$1)/7)+1,IF(INT((F130-$B$1)/7)&lt;&gt;INT((F129-$B$1)/7),INT((F130-$B$1)/7)+1,"")))</f>
        <v/>
      </c>
      <c r="D130" s="2" t="str">
        <f aca="false">IF(C130="","","W"&amp;TEXT(C130,"00"))</f>
        <v/>
      </c>
      <c r="E130" s="2" t="n">
        <f aca="false">E129+1</f>
        <v>129</v>
      </c>
      <c r="F130" s="28" t="n">
        <f aca="false">IF(L130="","",IF(F129+L130&lt;=$B$2,F129+L130,""))</f>
        <v>44519</v>
      </c>
      <c r="G130" s="1" t="str">
        <f aca="false">IF(F130="","",TEXT(F130,"ddd"))</f>
        <v>Fri</v>
      </c>
      <c r="H130" s="2" t="str">
        <f aca="false">IF(F130="","",CHOOSE(WEEKDAY(F130,2),"Mo","Tu","We","Th","Fr","Sa","Su"))</f>
        <v>Fr</v>
      </c>
      <c r="I130" s="2" t="n">
        <f aca="false">IF(F130="","",MONTH(F130))</f>
        <v>11</v>
      </c>
      <c r="J130" s="2" t="str">
        <f aca="false">IF(F130="","",TEXT(F130,"mmm"))</f>
        <v>Nov</v>
      </c>
      <c r="K130" s="2" t="n">
        <f aca="false">IF(F130="","",DAY(F130))</f>
        <v>19</v>
      </c>
      <c r="L130" s="46" t="n">
        <f aca="false">IF(F129="","",MIN(IF(MID($B$3,WEEKDAY(F129+1,2),1)="C",1,99),IF(MID($B$3,WEEKDAY(F129+2,2),1)="C",2,99),IF(MID($B$3,WEEKDAY(F129+3,2),1)="C",3,99),IF(MID($B$3,WEEKDAY(F129+4,2),1)="C",4,99),IF(MID($B$3,WEEKDAY(F129+5,2),1)="C",5,99),IF(MID($B$3,WEEKDAY(F129+6,2),1)="C",6,99),IF(MID($B$3,WEEKDAY(F129+7,2),1)="C",7,99)))</f>
        <v>2</v>
      </c>
    </row>
    <row r="131" customFormat="false" ht="13.8" hidden="false" customHeight="false" outlineLevel="0" collapsed="false">
      <c r="C131" s="2" t="n">
        <f aca="false">IF(F131="","",IF(ROW()=2,INT((F131-$B$1)/7)+1,IF(INT((F131-$B$1)/7)&lt;&gt;INT((F130-$B$1)/7),INT((F131-$B$1)/7)+1,"")))</f>
        <v>44</v>
      </c>
      <c r="D131" s="2" t="str">
        <f aca="false">IF(C131="","","W"&amp;TEXT(C131,"00"))</f>
        <v>W44</v>
      </c>
      <c r="E131" s="2" t="n">
        <f aca="false">E130+1</f>
        <v>130</v>
      </c>
      <c r="F131" s="28" t="n">
        <f aca="false">IF(L131="","",IF(F130+L131&lt;=$B$2,F130+L131,""))</f>
        <v>44522</v>
      </c>
      <c r="G131" s="1" t="str">
        <f aca="false">IF(F131="","",TEXT(F131,"ddd"))</f>
        <v>Mon</v>
      </c>
      <c r="H131" s="2" t="str">
        <f aca="false">IF(F131="","",CHOOSE(WEEKDAY(F131,2),"Mo","Tu","We","Th","Fr","Sa","Su"))</f>
        <v>Mo</v>
      </c>
      <c r="I131" s="2" t="n">
        <f aca="false">IF(F131="","",MONTH(F131))</f>
        <v>11</v>
      </c>
      <c r="J131" s="2" t="str">
        <f aca="false">IF(F131="","",TEXT(F131,"mmm"))</f>
        <v>Nov</v>
      </c>
      <c r="K131" s="2" t="n">
        <f aca="false">IF(F131="","",DAY(F131))</f>
        <v>22</v>
      </c>
      <c r="L131" s="46" t="n">
        <f aca="false">IF(F130="","",MIN(IF(MID($B$3,WEEKDAY(F130+1,2),1)="C",1,99),IF(MID($B$3,WEEKDAY(F130+2,2),1)="C",2,99),IF(MID($B$3,WEEKDAY(F130+3,2),1)="C",3,99),IF(MID($B$3,WEEKDAY(F130+4,2),1)="C",4,99),IF(MID($B$3,WEEKDAY(F130+5,2),1)="C",5,99),IF(MID($B$3,WEEKDAY(F130+6,2),1)="C",6,99),IF(MID($B$3,WEEKDAY(F130+7,2),1)="C",7,99)))</f>
        <v>3</v>
      </c>
    </row>
    <row r="132" customFormat="false" ht="13.8" hidden="false" customHeight="false" outlineLevel="0" collapsed="false">
      <c r="C132" s="2" t="str">
        <f aca="false">IF(F132="","",IF(ROW()=2,INT((F132-$B$1)/7)+1,IF(INT((F132-$B$1)/7)&lt;&gt;INT((F131-$B$1)/7),INT((F132-$B$1)/7)+1,"")))</f>
        <v/>
      </c>
      <c r="D132" s="2" t="str">
        <f aca="false">IF(C132="","","W"&amp;TEXT(C132,"00"))</f>
        <v/>
      </c>
      <c r="E132" s="2" t="n">
        <f aca="false">E131+1</f>
        <v>131</v>
      </c>
      <c r="F132" s="28" t="n">
        <f aca="false">IF(L132="","",IF(F131+L132&lt;=$B$2,F131+L132,""))</f>
        <v>44524</v>
      </c>
      <c r="G132" s="1" t="str">
        <f aca="false">IF(F132="","",TEXT(F132,"ddd"))</f>
        <v>Wed</v>
      </c>
      <c r="H132" s="2" t="str">
        <f aca="false">IF(F132="","",CHOOSE(WEEKDAY(F132,2),"Mo","Tu","We","Th","Fr","Sa","Su"))</f>
        <v>We</v>
      </c>
      <c r="I132" s="2" t="n">
        <f aca="false">IF(F132="","",MONTH(F132))</f>
        <v>11</v>
      </c>
      <c r="J132" s="2" t="str">
        <f aca="false">IF(F132="","",TEXT(F132,"mmm"))</f>
        <v>Nov</v>
      </c>
      <c r="K132" s="2" t="n">
        <f aca="false">IF(F132="","",DAY(F132))</f>
        <v>24</v>
      </c>
      <c r="L132" s="46" t="n">
        <f aca="false">IF(F131="","",MIN(IF(MID($B$3,WEEKDAY(F131+1,2),1)="C",1,99),IF(MID($B$3,WEEKDAY(F131+2,2),1)="C",2,99),IF(MID($B$3,WEEKDAY(F131+3,2),1)="C",3,99),IF(MID($B$3,WEEKDAY(F131+4,2),1)="C",4,99),IF(MID($B$3,WEEKDAY(F131+5,2),1)="C",5,99),IF(MID($B$3,WEEKDAY(F131+6,2),1)="C",6,99),IF(MID($B$3,WEEKDAY(F131+7,2),1)="C",7,99)))</f>
        <v>2</v>
      </c>
    </row>
    <row r="133" customFormat="false" ht="13.8" hidden="false" customHeight="false" outlineLevel="0" collapsed="false">
      <c r="C133" s="2" t="str">
        <f aca="false">IF(F133="","",IF(ROW()=2,INT((F133-$B$1)/7)+1,IF(INT((F133-$B$1)/7)&lt;&gt;INT((F132-$B$1)/7),INT((F133-$B$1)/7)+1,"")))</f>
        <v/>
      </c>
      <c r="D133" s="2" t="str">
        <f aca="false">IF(C133="","","W"&amp;TEXT(C133,"00"))</f>
        <v/>
      </c>
      <c r="E133" s="2" t="n">
        <f aca="false">E132+1</f>
        <v>132</v>
      </c>
      <c r="F133" s="28" t="n">
        <f aca="false">IF(L133="","",IF(F132+L133&lt;=$B$2,F132+L133,""))</f>
        <v>44526</v>
      </c>
      <c r="G133" s="1" t="str">
        <f aca="false">IF(F133="","",TEXT(F133,"ddd"))</f>
        <v>Fri</v>
      </c>
      <c r="H133" s="2" t="str">
        <f aca="false">IF(F133="","",CHOOSE(WEEKDAY(F133,2),"Mo","Tu","We","Th","Fr","Sa","Su"))</f>
        <v>Fr</v>
      </c>
      <c r="I133" s="2" t="n">
        <f aca="false">IF(F133="","",MONTH(F133))</f>
        <v>11</v>
      </c>
      <c r="J133" s="2" t="str">
        <f aca="false">IF(F133="","",TEXT(F133,"mmm"))</f>
        <v>Nov</v>
      </c>
      <c r="K133" s="2" t="n">
        <f aca="false">IF(F133="","",DAY(F133))</f>
        <v>26</v>
      </c>
      <c r="L133" s="46" t="n">
        <f aca="false">IF(F132="","",MIN(IF(MID($B$3,WEEKDAY(F132+1,2),1)="C",1,99),IF(MID($B$3,WEEKDAY(F132+2,2),1)="C",2,99),IF(MID($B$3,WEEKDAY(F132+3,2),1)="C",3,99),IF(MID($B$3,WEEKDAY(F132+4,2),1)="C",4,99),IF(MID($B$3,WEEKDAY(F132+5,2),1)="C",5,99),IF(MID($B$3,WEEKDAY(F132+6,2),1)="C",6,99),IF(MID($B$3,WEEKDAY(F132+7,2),1)="C",7,99)))</f>
        <v>2</v>
      </c>
    </row>
    <row r="134" customFormat="false" ht="13.8" hidden="false" customHeight="false" outlineLevel="0" collapsed="false">
      <c r="C134" s="2" t="n">
        <f aca="false">IF(F134="","",IF(ROW()=2,INT((F134-$B$1)/7)+1,IF(INT((F134-$B$1)/7)&lt;&gt;INT((F133-$B$1)/7),INT((F134-$B$1)/7)+1,"")))</f>
        <v>45</v>
      </c>
      <c r="D134" s="2" t="str">
        <f aca="false">IF(C134="","","W"&amp;TEXT(C134,"00"))</f>
        <v>W45</v>
      </c>
      <c r="E134" s="2" t="n">
        <f aca="false">E133+1</f>
        <v>133</v>
      </c>
      <c r="F134" s="28" t="n">
        <f aca="false">IF(L134="","",IF(F133+L134&lt;=$B$2,F133+L134,""))</f>
        <v>44529</v>
      </c>
      <c r="G134" s="1" t="str">
        <f aca="false">IF(F134="","",TEXT(F134,"ddd"))</f>
        <v>Mon</v>
      </c>
      <c r="H134" s="2" t="str">
        <f aca="false">IF(F134="","",CHOOSE(WEEKDAY(F134,2),"Mo","Tu","We","Th","Fr","Sa","Su"))</f>
        <v>Mo</v>
      </c>
      <c r="I134" s="2" t="n">
        <f aca="false">IF(F134="","",MONTH(F134))</f>
        <v>11</v>
      </c>
      <c r="J134" s="2" t="str">
        <f aca="false">IF(F134="","",TEXT(F134,"mmm"))</f>
        <v>Nov</v>
      </c>
      <c r="K134" s="2" t="n">
        <f aca="false">IF(F134="","",DAY(F134))</f>
        <v>29</v>
      </c>
      <c r="L134" s="46" t="n">
        <f aca="false">IF(F133="","",MIN(IF(MID($B$3,WEEKDAY(F133+1,2),1)="C",1,99),IF(MID($B$3,WEEKDAY(F133+2,2),1)="C",2,99),IF(MID($B$3,WEEKDAY(F133+3,2),1)="C",3,99),IF(MID($B$3,WEEKDAY(F133+4,2),1)="C",4,99),IF(MID($B$3,WEEKDAY(F133+5,2),1)="C",5,99),IF(MID($B$3,WEEKDAY(F133+6,2),1)="C",6,99),IF(MID($B$3,WEEKDAY(F133+7,2),1)="C",7,99)))</f>
        <v>3</v>
      </c>
    </row>
    <row r="135" customFormat="false" ht="13.8" hidden="false" customHeight="false" outlineLevel="0" collapsed="false">
      <c r="C135" s="2" t="str">
        <f aca="false">IF(F135="","",IF(ROW()=2,INT((F135-$B$1)/7)+1,IF(INT((F135-$B$1)/7)&lt;&gt;INT((F134-$B$1)/7),INT((F135-$B$1)/7)+1,"")))</f>
        <v/>
      </c>
      <c r="D135" s="2" t="str">
        <f aca="false">IF(C135="","","W"&amp;TEXT(C135,"00"))</f>
        <v/>
      </c>
      <c r="E135" s="2" t="n">
        <f aca="false">E134+1</f>
        <v>134</v>
      </c>
      <c r="F135" s="28" t="n">
        <f aca="false">IF(L135="","",IF(F134+L135&lt;=$B$2,F134+L135,""))</f>
        <v>44531</v>
      </c>
      <c r="G135" s="1" t="str">
        <f aca="false">IF(F135="","",TEXT(F135,"ddd"))</f>
        <v>Wed</v>
      </c>
      <c r="H135" s="2" t="str">
        <f aca="false">IF(F135="","",CHOOSE(WEEKDAY(F135,2),"Mo","Tu","We","Th","Fr","Sa","Su"))</f>
        <v>We</v>
      </c>
      <c r="I135" s="2" t="n">
        <f aca="false">IF(F135="","",MONTH(F135))</f>
        <v>12</v>
      </c>
      <c r="J135" s="2" t="str">
        <f aca="false">IF(F135="","",TEXT(F135,"mmm"))</f>
        <v>Dec</v>
      </c>
      <c r="K135" s="2" t="n">
        <f aca="false">IF(F135="","",DAY(F135))</f>
        <v>1</v>
      </c>
      <c r="L135" s="46" t="n">
        <f aca="false">IF(F134="","",MIN(IF(MID($B$3,WEEKDAY(F134+1,2),1)="C",1,99),IF(MID($B$3,WEEKDAY(F134+2,2),1)="C",2,99),IF(MID($B$3,WEEKDAY(F134+3,2),1)="C",3,99),IF(MID($B$3,WEEKDAY(F134+4,2),1)="C",4,99),IF(MID($B$3,WEEKDAY(F134+5,2),1)="C",5,99),IF(MID($B$3,WEEKDAY(F134+6,2),1)="C",6,99),IF(MID($B$3,WEEKDAY(F134+7,2),1)="C",7,99)))</f>
        <v>2</v>
      </c>
    </row>
    <row r="136" customFormat="false" ht="13.8" hidden="false" customHeight="false" outlineLevel="0" collapsed="false">
      <c r="C136" s="2" t="str">
        <f aca="false">IF(F136="","",IF(ROW()=2,INT((F136-$B$1)/7)+1,IF(INT((F136-$B$1)/7)&lt;&gt;INT((F135-$B$1)/7),INT((F136-$B$1)/7)+1,"")))</f>
        <v/>
      </c>
      <c r="D136" s="2" t="str">
        <f aca="false">IF(C136="","","W"&amp;TEXT(C136,"00"))</f>
        <v/>
      </c>
      <c r="E136" s="2" t="n">
        <f aca="false">E135+1</f>
        <v>135</v>
      </c>
      <c r="F136" s="28" t="n">
        <f aca="false">IF(L136="","",IF(F135+L136&lt;=$B$2,F135+L136,""))</f>
        <v>44533</v>
      </c>
      <c r="G136" s="1" t="str">
        <f aca="false">IF(F136="","",TEXT(F136,"ddd"))</f>
        <v>Fri</v>
      </c>
      <c r="H136" s="2" t="str">
        <f aca="false">IF(F136="","",CHOOSE(WEEKDAY(F136,2),"Mo","Tu","We","Th","Fr","Sa","Su"))</f>
        <v>Fr</v>
      </c>
      <c r="I136" s="2" t="n">
        <f aca="false">IF(F136="","",MONTH(F136))</f>
        <v>12</v>
      </c>
      <c r="J136" s="2" t="str">
        <f aca="false">IF(F136="","",TEXT(F136,"mmm"))</f>
        <v>Dec</v>
      </c>
      <c r="K136" s="2" t="n">
        <f aca="false">IF(F136="","",DAY(F136))</f>
        <v>3</v>
      </c>
      <c r="L136" s="46" t="n">
        <f aca="false">IF(F135="","",MIN(IF(MID($B$3,WEEKDAY(F135+1,2),1)="C",1,99),IF(MID($B$3,WEEKDAY(F135+2,2),1)="C",2,99),IF(MID($B$3,WEEKDAY(F135+3,2),1)="C",3,99),IF(MID($B$3,WEEKDAY(F135+4,2),1)="C",4,99),IF(MID($B$3,WEEKDAY(F135+5,2),1)="C",5,99),IF(MID($B$3,WEEKDAY(F135+6,2),1)="C",6,99),IF(MID($B$3,WEEKDAY(F135+7,2),1)="C",7,99)))</f>
        <v>2</v>
      </c>
    </row>
    <row r="137" customFormat="false" ht="13.8" hidden="false" customHeight="false" outlineLevel="0" collapsed="false">
      <c r="C137" s="2" t="n">
        <f aca="false">IF(F137="","",IF(ROW()=2,INT((F137-$B$1)/7)+1,IF(INT((F137-$B$1)/7)&lt;&gt;INT((F136-$B$1)/7),INT((F137-$B$1)/7)+1,"")))</f>
        <v>46</v>
      </c>
      <c r="D137" s="2" t="str">
        <f aca="false">IF(C137="","","W"&amp;TEXT(C137,"00"))</f>
        <v>W46</v>
      </c>
      <c r="E137" s="2" t="n">
        <f aca="false">E136+1</f>
        <v>136</v>
      </c>
      <c r="F137" s="28" t="n">
        <f aca="false">IF(L137="","",IF(F136+L137&lt;=$B$2,F136+L137,""))</f>
        <v>44536</v>
      </c>
      <c r="G137" s="1" t="str">
        <f aca="false">IF(F137="","",TEXT(F137,"ddd"))</f>
        <v>Mon</v>
      </c>
      <c r="H137" s="2" t="str">
        <f aca="false">IF(F137="","",CHOOSE(WEEKDAY(F137,2),"Mo","Tu","We","Th","Fr","Sa","Su"))</f>
        <v>Mo</v>
      </c>
      <c r="I137" s="2" t="n">
        <f aca="false">IF(F137="","",MONTH(F137))</f>
        <v>12</v>
      </c>
      <c r="J137" s="2" t="str">
        <f aca="false">IF(F137="","",TEXT(F137,"mmm"))</f>
        <v>Dec</v>
      </c>
      <c r="K137" s="2" t="n">
        <f aca="false">IF(F137="","",DAY(F137))</f>
        <v>6</v>
      </c>
      <c r="L137" s="46" t="n">
        <f aca="false">IF(F136="","",MIN(IF(MID($B$3,WEEKDAY(F136+1,2),1)="C",1,99),IF(MID($B$3,WEEKDAY(F136+2,2),1)="C",2,99),IF(MID($B$3,WEEKDAY(F136+3,2),1)="C",3,99),IF(MID($B$3,WEEKDAY(F136+4,2),1)="C",4,99),IF(MID($B$3,WEEKDAY(F136+5,2),1)="C",5,99),IF(MID($B$3,WEEKDAY(F136+6,2),1)="C",6,99),IF(MID($B$3,WEEKDAY(F136+7,2),1)="C",7,99)))</f>
        <v>3</v>
      </c>
    </row>
    <row r="138" customFormat="false" ht="13.8" hidden="false" customHeight="false" outlineLevel="0" collapsed="false">
      <c r="C138" s="2" t="str">
        <f aca="false">IF(F138="","",IF(ROW()=2,INT((F138-$B$1)/7)+1,IF(INT((F138-$B$1)/7)&lt;&gt;INT((F137-$B$1)/7),INT((F138-$B$1)/7)+1,"")))</f>
        <v/>
      </c>
      <c r="D138" s="2" t="str">
        <f aca="false">IF(C138="","","W"&amp;TEXT(C138,"00"))</f>
        <v/>
      </c>
      <c r="E138" s="2" t="n">
        <f aca="false">E137+1</f>
        <v>137</v>
      </c>
      <c r="F138" s="28" t="n">
        <f aca="false">IF(L138="","",IF(F137+L138&lt;=$B$2,F137+L138,""))</f>
        <v>44538</v>
      </c>
      <c r="G138" s="1" t="str">
        <f aca="false">IF(F138="","",TEXT(F138,"ddd"))</f>
        <v>Wed</v>
      </c>
      <c r="H138" s="2" t="str">
        <f aca="false">IF(F138="","",CHOOSE(WEEKDAY(F138,2),"Mo","Tu","We","Th","Fr","Sa","Su"))</f>
        <v>We</v>
      </c>
      <c r="I138" s="2" t="n">
        <f aca="false">IF(F138="","",MONTH(F138))</f>
        <v>12</v>
      </c>
      <c r="J138" s="2" t="str">
        <f aca="false">IF(F138="","",TEXT(F138,"mmm"))</f>
        <v>Dec</v>
      </c>
      <c r="K138" s="2" t="n">
        <f aca="false">IF(F138="","",DAY(F138))</f>
        <v>8</v>
      </c>
      <c r="L138" s="46" t="n">
        <f aca="false">IF(F137="","",MIN(IF(MID($B$3,WEEKDAY(F137+1,2),1)="C",1,99),IF(MID($B$3,WEEKDAY(F137+2,2),1)="C",2,99),IF(MID($B$3,WEEKDAY(F137+3,2),1)="C",3,99),IF(MID($B$3,WEEKDAY(F137+4,2),1)="C",4,99),IF(MID($B$3,WEEKDAY(F137+5,2),1)="C",5,99),IF(MID($B$3,WEEKDAY(F137+6,2),1)="C",6,99),IF(MID($B$3,WEEKDAY(F137+7,2),1)="C",7,99)))</f>
        <v>2</v>
      </c>
    </row>
    <row r="139" customFormat="false" ht="13.8" hidden="false" customHeight="false" outlineLevel="0" collapsed="false">
      <c r="C139" s="2" t="str">
        <f aca="false">IF(F139="","",IF(ROW()=2,INT((F139-$B$1)/7)+1,IF(INT((F139-$B$1)/7)&lt;&gt;INT((F138-$B$1)/7),INT((F139-$B$1)/7)+1,"")))</f>
        <v/>
      </c>
      <c r="D139" s="2" t="str">
        <f aca="false">IF(C139="","","W"&amp;TEXT(C139,"00"))</f>
        <v/>
      </c>
      <c r="E139" s="2" t="n">
        <f aca="false">E138+1</f>
        <v>138</v>
      </c>
      <c r="F139" s="28" t="n">
        <f aca="false">IF(L139="","",IF(F138+L139&lt;=$B$2,F138+L139,""))</f>
        <v>44540</v>
      </c>
      <c r="G139" s="1" t="str">
        <f aca="false">IF(F139="","",TEXT(F139,"ddd"))</f>
        <v>Fri</v>
      </c>
      <c r="H139" s="2" t="str">
        <f aca="false">IF(F139="","",CHOOSE(WEEKDAY(F139,2),"Mo","Tu","We","Th","Fr","Sa","Su"))</f>
        <v>Fr</v>
      </c>
      <c r="I139" s="2" t="n">
        <f aca="false">IF(F139="","",MONTH(F139))</f>
        <v>12</v>
      </c>
      <c r="J139" s="2" t="str">
        <f aca="false">IF(F139="","",TEXT(F139,"mmm"))</f>
        <v>Dec</v>
      </c>
      <c r="K139" s="2" t="n">
        <f aca="false">IF(F139="","",DAY(F139))</f>
        <v>10</v>
      </c>
      <c r="L139" s="46" t="n">
        <f aca="false">IF(F138="","",MIN(IF(MID($B$3,WEEKDAY(F138+1,2),1)="C",1,99),IF(MID($B$3,WEEKDAY(F138+2,2),1)="C",2,99),IF(MID($B$3,WEEKDAY(F138+3,2),1)="C",3,99),IF(MID($B$3,WEEKDAY(F138+4,2),1)="C",4,99),IF(MID($B$3,WEEKDAY(F138+5,2),1)="C",5,99),IF(MID($B$3,WEEKDAY(F138+6,2),1)="C",6,99),IF(MID($B$3,WEEKDAY(F138+7,2),1)="C",7,99)))</f>
        <v>2</v>
      </c>
    </row>
    <row r="140" customFormat="false" ht="13.8" hidden="false" customHeight="false" outlineLevel="0" collapsed="false">
      <c r="C140" s="2" t="n">
        <f aca="false">IF(F140="","",IF(ROW()=2,INT((F140-$B$1)/7)+1,IF(INT((F140-$B$1)/7)&lt;&gt;INT((F139-$B$1)/7),INT((F140-$B$1)/7)+1,"")))</f>
        <v>47</v>
      </c>
      <c r="D140" s="2" t="str">
        <f aca="false">IF(C140="","","W"&amp;TEXT(C140,"00"))</f>
        <v>W47</v>
      </c>
      <c r="E140" s="2" t="n">
        <f aca="false">E139+1</f>
        <v>139</v>
      </c>
      <c r="F140" s="28" t="n">
        <f aca="false">IF(L140="","",IF(F139+L140&lt;=$B$2,F139+L140,""))</f>
        <v>44543</v>
      </c>
      <c r="G140" s="1" t="str">
        <f aca="false">IF(F140="","",TEXT(F140,"ddd"))</f>
        <v>Mon</v>
      </c>
      <c r="H140" s="2" t="str">
        <f aca="false">IF(F140="","",CHOOSE(WEEKDAY(F140,2),"Mo","Tu","We","Th","Fr","Sa","Su"))</f>
        <v>Mo</v>
      </c>
      <c r="I140" s="2" t="n">
        <f aca="false">IF(F140="","",MONTH(F140))</f>
        <v>12</v>
      </c>
      <c r="J140" s="2" t="str">
        <f aca="false">IF(F140="","",TEXT(F140,"mmm"))</f>
        <v>Dec</v>
      </c>
      <c r="K140" s="2" t="n">
        <f aca="false">IF(F140="","",DAY(F140))</f>
        <v>13</v>
      </c>
      <c r="L140" s="46" t="n">
        <f aca="false">IF(F139="","",MIN(IF(MID($B$3,WEEKDAY(F139+1,2),1)="C",1,99),IF(MID($B$3,WEEKDAY(F139+2,2),1)="C",2,99),IF(MID($B$3,WEEKDAY(F139+3,2),1)="C",3,99),IF(MID($B$3,WEEKDAY(F139+4,2),1)="C",4,99),IF(MID($B$3,WEEKDAY(F139+5,2),1)="C",5,99),IF(MID($B$3,WEEKDAY(F139+6,2),1)="C",6,99),IF(MID($B$3,WEEKDAY(F139+7,2),1)="C",7,99)))</f>
        <v>3</v>
      </c>
    </row>
    <row r="141" customFormat="false" ht="13.8" hidden="false" customHeight="false" outlineLevel="0" collapsed="false">
      <c r="C141" s="2" t="str">
        <f aca="false">IF(F141="","",IF(ROW()=2,INT((F141-$B$1)/7)+1,IF(INT((F141-$B$1)/7)&lt;&gt;INT((F140-$B$1)/7),INT((F141-$B$1)/7)+1,"")))</f>
        <v/>
      </c>
      <c r="D141" s="2" t="str">
        <f aca="false">IF(C141="","","W"&amp;TEXT(C141,"00"))</f>
        <v/>
      </c>
      <c r="E141" s="2" t="n">
        <f aca="false">E140+1</f>
        <v>140</v>
      </c>
      <c r="F141" s="28" t="n">
        <f aca="false">IF(L141="","",IF(F140+L141&lt;=$B$2,F140+L141,""))</f>
        <v>44545</v>
      </c>
      <c r="G141" s="1" t="str">
        <f aca="false">IF(F141="","",TEXT(F141,"ddd"))</f>
        <v>Wed</v>
      </c>
      <c r="H141" s="2" t="str">
        <f aca="false">IF(F141="","",CHOOSE(WEEKDAY(F141,2),"Mo","Tu","We","Th","Fr","Sa","Su"))</f>
        <v>We</v>
      </c>
      <c r="I141" s="2" t="n">
        <f aca="false">IF(F141="","",MONTH(F141))</f>
        <v>12</v>
      </c>
      <c r="J141" s="2" t="str">
        <f aca="false">IF(F141="","",TEXT(F141,"mmm"))</f>
        <v>Dec</v>
      </c>
      <c r="K141" s="2" t="n">
        <f aca="false">IF(F141="","",DAY(F141))</f>
        <v>15</v>
      </c>
      <c r="L141" s="46" t="n">
        <f aca="false">IF(F140="","",MIN(IF(MID($B$3,WEEKDAY(F140+1,2),1)="C",1,99),IF(MID($B$3,WEEKDAY(F140+2,2),1)="C",2,99),IF(MID($B$3,WEEKDAY(F140+3,2),1)="C",3,99),IF(MID($B$3,WEEKDAY(F140+4,2),1)="C",4,99),IF(MID($B$3,WEEKDAY(F140+5,2),1)="C",5,99),IF(MID($B$3,WEEKDAY(F140+6,2),1)="C",6,99),IF(MID($B$3,WEEKDAY(F140+7,2),1)="C",7,99)))</f>
        <v>2</v>
      </c>
    </row>
    <row r="142" customFormat="false" ht="13.8" hidden="false" customHeight="false" outlineLevel="0" collapsed="false">
      <c r="C142" s="2" t="str">
        <f aca="false">IF(F142="","",IF(ROW()=2,INT((F142-$B$1)/7)+1,IF(INT((F142-$B$1)/7)&lt;&gt;INT((F141-$B$1)/7),INT((F142-$B$1)/7)+1,"")))</f>
        <v/>
      </c>
      <c r="D142" s="2" t="str">
        <f aca="false">IF(C142="","","W"&amp;TEXT(C142,"00"))</f>
        <v/>
      </c>
      <c r="E142" s="2" t="n">
        <f aca="false">E141+1</f>
        <v>141</v>
      </c>
      <c r="F142" s="28" t="n">
        <f aca="false">IF(L142="","",IF(F141+L142&lt;=$B$2,F141+L142,""))</f>
        <v>44547</v>
      </c>
      <c r="G142" s="1" t="str">
        <f aca="false">IF(F142="","",TEXT(F142,"ddd"))</f>
        <v>Fri</v>
      </c>
      <c r="H142" s="2" t="str">
        <f aca="false">IF(F142="","",CHOOSE(WEEKDAY(F142,2),"Mo","Tu","We","Th","Fr","Sa","Su"))</f>
        <v>Fr</v>
      </c>
      <c r="I142" s="2" t="n">
        <f aca="false">IF(F142="","",MONTH(F142))</f>
        <v>12</v>
      </c>
      <c r="J142" s="2" t="str">
        <f aca="false">IF(F142="","",TEXT(F142,"mmm"))</f>
        <v>Dec</v>
      </c>
      <c r="K142" s="2" t="n">
        <f aca="false">IF(F142="","",DAY(F142))</f>
        <v>17</v>
      </c>
      <c r="L142" s="46" t="n">
        <f aca="false">IF(F141="","",MIN(IF(MID($B$3,WEEKDAY(F141+1,2),1)="C",1,99),IF(MID($B$3,WEEKDAY(F141+2,2),1)="C",2,99),IF(MID($B$3,WEEKDAY(F141+3,2),1)="C",3,99),IF(MID($B$3,WEEKDAY(F141+4,2),1)="C",4,99),IF(MID($B$3,WEEKDAY(F141+5,2),1)="C",5,99),IF(MID($B$3,WEEKDAY(F141+6,2),1)="C",6,99),IF(MID($B$3,WEEKDAY(F141+7,2),1)="C",7,99)))</f>
        <v>2</v>
      </c>
    </row>
    <row r="143" customFormat="false" ht="13.8" hidden="false" customHeight="false" outlineLevel="0" collapsed="false">
      <c r="C143" s="2" t="n">
        <f aca="false">IF(F143="","",IF(ROW()=2,INT((F143-$B$1)/7)+1,IF(INT((F143-$B$1)/7)&lt;&gt;INT((F142-$B$1)/7),INT((F143-$B$1)/7)+1,"")))</f>
        <v>48</v>
      </c>
      <c r="D143" s="2" t="str">
        <f aca="false">IF(C143="","","W"&amp;TEXT(C143,"00"))</f>
        <v>W48</v>
      </c>
      <c r="E143" s="2" t="n">
        <f aca="false">E142+1</f>
        <v>142</v>
      </c>
      <c r="F143" s="28" t="n">
        <f aca="false">IF(L143="","",IF(F142+L143&lt;=$B$2,F142+L143,""))</f>
        <v>44550</v>
      </c>
      <c r="G143" s="1" t="str">
        <f aca="false">IF(F143="","",TEXT(F143,"ddd"))</f>
        <v>Mon</v>
      </c>
      <c r="H143" s="2" t="str">
        <f aca="false">IF(F143="","",CHOOSE(WEEKDAY(F143,2),"Mo","Tu","We","Th","Fr","Sa","Su"))</f>
        <v>Mo</v>
      </c>
      <c r="I143" s="2" t="n">
        <f aca="false">IF(F143="","",MONTH(F143))</f>
        <v>12</v>
      </c>
      <c r="J143" s="2" t="str">
        <f aca="false">IF(F143="","",TEXT(F143,"mmm"))</f>
        <v>Dec</v>
      </c>
      <c r="K143" s="2" t="n">
        <f aca="false">IF(F143="","",DAY(F143))</f>
        <v>20</v>
      </c>
      <c r="L143" s="46" t="n">
        <f aca="false">IF(F142="","",MIN(IF(MID($B$3,WEEKDAY(F142+1,2),1)="C",1,99),IF(MID($B$3,WEEKDAY(F142+2,2),1)="C",2,99),IF(MID($B$3,WEEKDAY(F142+3,2),1)="C",3,99),IF(MID($B$3,WEEKDAY(F142+4,2),1)="C",4,99),IF(MID($B$3,WEEKDAY(F142+5,2),1)="C",5,99),IF(MID($B$3,WEEKDAY(F142+6,2),1)="C",6,99),IF(MID($B$3,WEEKDAY(F142+7,2),1)="C",7,99)))</f>
        <v>3</v>
      </c>
    </row>
    <row r="144" customFormat="false" ht="13.8" hidden="false" customHeight="false" outlineLevel="0" collapsed="false">
      <c r="C144" s="2" t="str">
        <f aca="false">IF(F144="","",IF(ROW()=2,INT((F144-$B$1)/7)+1,IF(INT((F144-$B$1)/7)&lt;&gt;INT((F143-$B$1)/7),INT((F144-$B$1)/7)+1,"")))</f>
        <v/>
      </c>
      <c r="D144" s="2" t="str">
        <f aca="false">IF(C144="","","W"&amp;TEXT(C144,"00"))</f>
        <v/>
      </c>
      <c r="E144" s="2" t="n">
        <f aca="false">E143+1</f>
        <v>143</v>
      </c>
      <c r="F144" s="28" t="n">
        <f aca="false">IF(L144="","",IF(F143+L144&lt;=$B$2,F143+L144,""))</f>
        <v>44552</v>
      </c>
      <c r="G144" s="1" t="str">
        <f aca="false">IF(F144="","",TEXT(F144,"ddd"))</f>
        <v>Wed</v>
      </c>
      <c r="H144" s="2" t="str">
        <f aca="false">IF(F144="","",CHOOSE(WEEKDAY(F144,2),"Mo","Tu","We","Th","Fr","Sa","Su"))</f>
        <v>We</v>
      </c>
      <c r="I144" s="2" t="n">
        <f aca="false">IF(F144="","",MONTH(F144))</f>
        <v>12</v>
      </c>
      <c r="J144" s="2" t="str">
        <f aca="false">IF(F144="","",TEXT(F144,"mmm"))</f>
        <v>Dec</v>
      </c>
      <c r="K144" s="2" t="n">
        <f aca="false">IF(F144="","",DAY(F144))</f>
        <v>22</v>
      </c>
      <c r="L144" s="46" t="n">
        <f aca="false">IF(F143="","",MIN(IF(MID($B$3,WEEKDAY(F143+1,2),1)="C",1,99),IF(MID($B$3,WEEKDAY(F143+2,2),1)="C",2,99),IF(MID($B$3,WEEKDAY(F143+3,2),1)="C",3,99),IF(MID($B$3,WEEKDAY(F143+4,2),1)="C",4,99),IF(MID($B$3,WEEKDAY(F143+5,2),1)="C",5,99),IF(MID($B$3,WEEKDAY(F143+6,2),1)="C",6,99),IF(MID($B$3,WEEKDAY(F143+7,2),1)="C",7,99)))</f>
        <v>2</v>
      </c>
    </row>
    <row r="145" customFormat="false" ht="13.8" hidden="false" customHeight="false" outlineLevel="0" collapsed="false">
      <c r="C145" s="2" t="str">
        <f aca="false">IF(F145="","",IF(ROW()=2,INT((F145-$B$1)/7)+1,IF(INT((F145-$B$1)/7)&lt;&gt;INT((F144-$B$1)/7),INT((F145-$B$1)/7)+1,"")))</f>
        <v/>
      </c>
      <c r="D145" s="2" t="str">
        <f aca="false">IF(C145="","","W"&amp;TEXT(C145,"00"))</f>
        <v/>
      </c>
      <c r="E145" s="2" t="n">
        <f aca="false">E144+1</f>
        <v>144</v>
      </c>
      <c r="F145" s="28" t="n">
        <f aca="false">IF(L145="","",IF(F144+L145&lt;=$B$2,F144+L145,""))</f>
        <v>44554</v>
      </c>
      <c r="G145" s="1" t="str">
        <f aca="false">IF(F145="","",TEXT(F145,"ddd"))</f>
        <v>Fri</v>
      </c>
      <c r="H145" s="2" t="str">
        <f aca="false">IF(F145="","",CHOOSE(WEEKDAY(F145,2),"Mo","Tu","We","Th","Fr","Sa","Su"))</f>
        <v>Fr</v>
      </c>
      <c r="I145" s="2" t="n">
        <f aca="false">IF(F145="","",MONTH(F145))</f>
        <v>12</v>
      </c>
      <c r="J145" s="2" t="str">
        <f aca="false">IF(F145="","",TEXT(F145,"mmm"))</f>
        <v>Dec</v>
      </c>
      <c r="K145" s="2" t="n">
        <f aca="false">IF(F145="","",DAY(F145))</f>
        <v>24</v>
      </c>
      <c r="L145" s="46" t="n">
        <f aca="false">IF(F144="","",MIN(IF(MID($B$3,WEEKDAY(F144+1,2),1)="C",1,99),IF(MID($B$3,WEEKDAY(F144+2,2),1)="C",2,99),IF(MID($B$3,WEEKDAY(F144+3,2),1)="C",3,99),IF(MID($B$3,WEEKDAY(F144+4,2),1)="C",4,99),IF(MID($B$3,WEEKDAY(F144+5,2),1)="C",5,99),IF(MID($B$3,WEEKDAY(F144+6,2),1)="C",6,99),IF(MID($B$3,WEEKDAY(F144+7,2),1)="C",7,99)))</f>
        <v>2</v>
      </c>
    </row>
    <row r="146" customFormat="false" ht="13.8" hidden="false" customHeight="false" outlineLevel="0" collapsed="false">
      <c r="C146" s="2" t="n">
        <f aca="false">IF(F146="","",IF(ROW()=2,INT((F146-$B$1)/7)+1,IF(INT((F146-$B$1)/7)&lt;&gt;INT((F145-$B$1)/7),INT((F146-$B$1)/7)+1,"")))</f>
        <v>49</v>
      </c>
      <c r="D146" s="2" t="str">
        <f aca="false">IF(C146="","","W"&amp;TEXT(C146,"00"))</f>
        <v>W49</v>
      </c>
      <c r="E146" s="2" t="n">
        <f aca="false">E145+1</f>
        <v>145</v>
      </c>
      <c r="F146" s="28" t="n">
        <f aca="false">IF(L146="","",IF(F145+L146&lt;=$B$2,F145+L146,""))</f>
        <v>44557</v>
      </c>
      <c r="G146" s="1" t="str">
        <f aca="false">IF(F146="","",TEXT(F146,"ddd"))</f>
        <v>Mon</v>
      </c>
      <c r="H146" s="2" t="str">
        <f aca="false">IF(F146="","",CHOOSE(WEEKDAY(F146,2),"Mo","Tu","We","Th","Fr","Sa","Su"))</f>
        <v>Mo</v>
      </c>
      <c r="I146" s="2" t="n">
        <f aca="false">IF(F146="","",MONTH(F146))</f>
        <v>12</v>
      </c>
      <c r="J146" s="2" t="str">
        <f aca="false">IF(F146="","",TEXT(F146,"mmm"))</f>
        <v>Dec</v>
      </c>
      <c r="K146" s="2" t="n">
        <f aca="false">IF(F146="","",DAY(F146))</f>
        <v>27</v>
      </c>
      <c r="L146" s="46" t="n">
        <f aca="false">IF(F145="","",MIN(IF(MID($B$3,WEEKDAY(F145+1,2),1)="C",1,99),IF(MID($B$3,WEEKDAY(F145+2,2),1)="C",2,99),IF(MID($B$3,WEEKDAY(F145+3,2),1)="C",3,99),IF(MID($B$3,WEEKDAY(F145+4,2),1)="C",4,99),IF(MID($B$3,WEEKDAY(F145+5,2),1)="C",5,99),IF(MID($B$3,WEEKDAY(F145+6,2),1)="C",6,99),IF(MID($B$3,WEEKDAY(F145+7,2),1)="C",7,99)))</f>
        <v>3</v>
      </c>
    </row>
    <row r="147" customFormat="false" ht="13.8" hidden="false" customHeight="false" outlineLevel="0" collapsed="false">
      <c r="C147" s="2" t="str">
        <f aca="false">IF(F147="","",IF(ROW()=2,INT((F147-$B$1)/7)+1,IF(INT((F147-$B$1)/7)&lt;&gt;INT((F146-$B$1)/7),INT((F147-$B$1)/7)+1,"")))</f>
        <v/>
      </c>
      <c r="D147" s="2" t="str">
        <f aca="false">IF(C147="","","W"&amp;TEXT(C147,"00"))</f>
        <v/>
      </c>
      <c r="E147" s="2" t="n">
        <f aca="false">E146+1</f>
        <v>146</v>
      </c>
      <c r="F147" s="28" t="n">
        <f aca="false">IF(L147="","",IF(F146+L147&lt;=$B$2,F146+L147,""))</f>
        <v>44559</v>
      </c>
      <c r="G147" s="1" t="str">
        <f aca="false">IF(F147="","",TEXT(F147,"ddd"))</f>
        <v>Wed</v>
      </c>
      <c r="H147" s="2" t="str">
        <f aca="false">IF(F147="","",CHOOSE(WEEKDAY(F147,2),"Mo","Tu","We","Th","Fr","Sa","Su"))</f>
        <v>We</v>
      </c>
      <c r="I147" s="2" t="n">
        <f aca="false">IF(F147="","",MONTH(F147))</f>
        <v>12</v>
      </c>
      <c r="J147" s="2" t="str">
        <f aca="false">IF(F147="","",TEXT(F147,"mmm"))</f>
        <v>Dec</v>
      </c>
      <c r="K147" s="2" t="n">
        <f aca="false">IF(F147="","",DAY(F147))</f>
        <v>29</v>
      </c>
      <c r="L147" s="46" t="n">
        <f aca="false">IF(F146="","",MIN(IF(MID($B$3,WEEKDAY(F146+1,2),1)="C",1,99),IF(MID($B$3,WEEKDAY(F146+2,2),1)="C",2,99),IF(MID($B$3,WEEKDAY(F146+3,2),1)="C",3,99),IF(MID($B$3,WEEKDAY(F146+4,2),1)="C",4,99),IF(MID($B$3,WEEKDAY(F146+5,2),1)="C",5,99),IF(MID($B$3,WEEKDAY(F146+6,2),1)="C",6,99),IF(MID($B$3,WEEKDAY(F146+7,2),1)="C",7,99)))</f>
        <v>2</v>
      </c>
    </row>
    <row r="148" customFormat="false" ht="13.8" hidden="false" customHeight="false" outlineLevel="0" collapsed="false">
      <c r="C148" s="2" t="str">
        <f aca="false">IF(F148="","",IF(ROW()=2,INT((F148-$B$1)/7)+1,IF(INT((F148-$B$1)/7)&lt;&gt;INT((F147-$B$1)/7),INT((F148-$B$1)/7)+1,"")))</f>
        <v/>
      </c>
      <c r="D148" s="2" t="str">
        <f aca="false">IF(C148="","","W"&amp;TEXT(C148,"00"))</f>
        <v/>
      </c>
      <c r="E148" s="2" t="n">
        <f aca="false">E147+1</f>
        <v>147</v>
      </c>
      <c r="F148" s="28" t="n">
        <f aca="false">IF(L148="","",IF(F147+L148&lt;=$B$2,F147+L148,""))</f>
        <v>44561</v>
      </c>
      <c r="G148" s="1" t="str">
        <f aca="false">IF(F148="","",TEXT(F148,"ddd"))</f>
        <v>Fri</v>
      </c>
      <c r="H148" s="2" t="str">
        <f aca="false">IF(F148="","",CHOOSE(WEEKDAY(F148,2),"Mo","Tu","We","Th","Fr","Sa","Su"))</f>
        <v>Fr</v>
      </c>
      <c r="I148" s="2" t="n">
        <f aca="false">IF(F148="","",MONTH(F148))</f>
        <v>12</v>
      </c>
      <c r="J148" s="2" t="str">
        <f aca="false">IF(F148="","",TEXT(F148,"mmm"))</f>
        <v>Dec</v>
      </c>
      <c r="K148" s="2" t="n">
        <f aca="false">IF(F148="","",DAY(F148))</f>
        <v>31</v>
      </c>
      <c r="L148" s="46" t="n">
        <f aca="false">IF(F147="","",MIN(IF(MID($B$3,WEEKDAY(F147+1,2),1)="C",1,99),IF(MID($B$3,WEEKDAY(F147+2,2),1)="C",2,99),IF(MID($B$3,WEEKDAY(F147+3,2),1)="C",3,99),IF(MID($B$3,WEEKDAY(F147+4,2),1)="C",4,99),IF(MID($B$3,WEEKDAY(F147+5,2),1)="C",5,99),IF(MID($B$3,WEEKDAY(F147+6,2),1)="C",6,99),IF(MID($B$3,WEEKDAY(F147+7,2),1)="C",7,99)))</f>
        <v>2</v>
      </c>
    </row>
    <row r="149" customFormat="false" ht="13.8" hidden="false" customHeight="false" outlineLevel="0" collapsed="false">
      <c r="C149" s="2" t="n">
        <f aca="false">IF(F149="","",IF(ROW()=2,INT((F149-$B$1)/7)+1,IF(INT((F149-$B$1)/7)&lt;&gt;INT((F148-$B$1)/7),INT((F149-$B$1)/7)+1,"")))</f>
        <v>50</v>
      </c>
      <c r="D149" s="2" t="str">
        <f aca="false">IF(C149="","","W"&amp;TEXT(C149,"00"))</f>
        <v>W50</v>
      </c>
      <c r="E149" s="2" t="n">
        <f aca="false">E148+1</f>
        <v>148</v>
      </c>
      <c r="F149" s="28" t="n">
        <f aca="false">IF(L149="","",IF(F148+L149&lt;=$B$2,F148+L149,""))</f>
        <v>44564</v>
      </c>
      <c r="G149" s="1" t="str">
        <f aca="false">IF(F149="","",TEXT(F149,"ddd"))</f>
        <v>Mon</v>
      </c>
      <c r="H149" s="2" t="str">
        <f aca="false">IF(F149="","",CHOOSE(WEEKDAY(F149,2),"Mo","Tu","We","Th","Fr","Sa","Su"))</f>
        <v>Mo</v>
      </c>
      <c r="I149" s="2" t="n">
        <f aca="false">IF(F149="","",MONTH(F149))</f>
        <v>1</v>
      </c>
      <c r="J149" s="2" t="str">
        <f aca="false">IF(F149="","",TEXT(F149,"mmm"))</f>
        <v>Jan</v>
      </c>
      <c r="K149" s="2" t="n">
        <f aca="false">IF(F149="","",DAY(F149))</f>
        <v>3</v>
      </c>
      <c r="L149" s="46" t="n">
        <f aca="false">IF(F148="","",MIN(IF(MID($B$3,WEEKDAY(F148+1,2),1)="C",1,99),IF(MID($B$3,WEEKDAY(F148+2,2),1)="C",2,99),IF(MID($B$3,WEEKDAY(F148+3,2),1)="C",3,99),IF(MID($B$3,WEEKDAY(F148+4,2),1)="C",4,99),IF(MID($B$3,WEEKDAY(F148+5,2),1)="C",5,99),IF(MID($B$3,WEEKDAY(F148+6,2),1)="C",6,99),IF(MID($B$3,WEEKDAY(F148+7,2),1)="C",7,99)))</f>
        <v>3</v>
      </c>
    </row>
    <row r="150" customFormat="false" ht="13.8" hidden="false" customHeight="false" outlineLevel="0" collapsed="false">
      <c r="C150" s="2" t="str">
        <f aca="false">IF(F150="","",IF(ROW()=2,INT((F150-$B$1)/7)+1,IF(INT((F150-$B$1)/7)&lt;&gt;INT((F149-$B$1)/7),INT((F150-$B$1)/7)+1,"")))</f>
        <v/>
      </c>
      <c r="D150" s="2" t="str">
        <f aca="false">IF(C150="","","W"&amp;TEXT(C150,"00"))</f>
        <v/>
      </c>
      <c r="E150" s="2" t="n">
        <f aca="false">E149+1</f>
        <v>149</v>
      </c>
      <c r="F150" s="28" t="n">
        <f aca="false">IF(L150="","",IF(F149+L150&lt;=$B$2,F149+L150,""))</f>
        <v>44566</v>
      </c>
      <c r="G150" s="1" t="str">
        <f aca="false">IF(F150="","",TEXT(F150,"ddd"))</f>
        <v>Wed</v>
      </c>
      <c r="H150" s="2" t="str">
        <f aca="false">IF(F150="","",CHOOSE(WEEKDAY(F150,2),"Mo","Tu","We","Th","Fr","Sa","Su"))</f>
        <v>We</v>
      </c>
      <c r="I150" s="2" t="n">
        <f aca="false">IF(F150="","",MONTH(F150))</f>
        <v>1</v>
      </c>
      <c r="J150" s="2" t="str">
        <f aca="false">IF(F150="","",TEXT(F150,"mmm"))</f>
        <v>Jan</v>
      </c>
      <c r="K150" s="2" t="n">
        <f aca="false">IF(F150="","",DAY(F150))</f>
        <v>5</v>
      </c>
      <c r="L150" s="46" t="n">
        <f aca="false">IF(F149="","",MIN(IF(MID($B$3,WEEKDAY(F149+1,2),1)="C",1,99),IF(MID($B$3,WEEKDAY(F149+2,2),1)="C",2,99),IF(MID($B$3,WEEKDAY(F149+3,2),1)="C",3,99),IF(MID($B$3,WEEKDAY(F149+4,2),1)="C",4,99),IF(MID($B$3,WEEKDAY(F149+5,2),1)="C",5,99),IF(MID($B$3,WEEKDAY(F149+6,2),1)="C",6,99),IF(MID($B$3,WEEKDAY(F149+7,2),1)="C",7,99)))</f>
        <v>2</v>
      </c>
    </row>
    <row r="151" customFormat="false" ht="13.8" hidden="false" customHeight="false" outlineLevel="0" collapsed="false">
      <c r="C151" s="2" t="str">
        <f aca="false">IF(F151="","",IF(ROW()=2,INT((F151-$B$1)/7)+1,IF(INT((F151-$B$1)/7)&lt;&gt;INT((F150-$B$1)/7),INT((F151-$B$1)/7)+1,"")))</f>
        <v/>
      </c>
      <c r="D151" s="2" t="str">
        <f aca="false">IF(C151="","","W"&amp;TEXT(C151,"00"))</f>
        <v/>
      </c>
      <c r="E151" s="2" t="n">
        <f aca="false">E150+1</f>
        <v>150</v>
      </c>
      <c r="F151" s="28" t="n">
        <f aca="false">IF(L151="","",IF(F150+L151&lt;=$B$2,F150+L151,""))</f>
        <v>44568</v>
      </c>
      <c r="G151" s="1" t="str">
        <f aca="false">IF(F151="","",TEXT(F151,"ddd"))</f>
        <v>Fri</v>
      </c>
      <c r="H151" s="2" t="str">
        <f aca="false">IF(F151="","",CHOOSE(WEEKDAY(F151,2),"Mo","Tu","We","Th","Fr","Sa","Su"))</f>
        <v>Fr</v>
      </c>
      <c r="I151" s="2" t="n">
        <f aca="false">IF(F151="","",MONTH(F151))</f>
        <v>1</v>
      </c>
      <c r="J151" s="2" t="str">
        <f aca="false">IF(F151="","",TEXT(F151,"mmm"))</f>
        <v>Jan</v>
      </c>
      <c r="K151" s="2" t="n">
        <f aca="false">IF(F151="","",DAY(F151))</f>
        <v>7</v>
      </c>
      <c r="L151" s="46" t="n">
        <f aca="false">IF(F150="","",MIN(IF(MID($B$3,WEEKDAY(F150+1,2),1)="C",1,99),IF(MID($B$3,WEEKDAY(F150+2,2),1)="C",2,99),IF(MID($B$3,WEEKDAY(F150+3,2),1)="C",3,99),IF(MID($B$3,WEEKDAY(F150+4,2),1)="C",4,99),IF(MID($B$3,WEEKDAY(F150+5,2),1)="C",5,99),IF(MID($B$3,WEEKDAY(F150+6,2),1)="C",6,99),IF(MID($B$3,WEEKDAY(F150+7,2),1)="C",7,99)))</f>
        <v>2</v>
      </c>
    </row>
    <row r="152" customFormat="false" ht="13.8" hidden="false" customHeight="false" outlineLevel="0" collapsed="false">
      <c r="C152" s="2" t="n">
        <f aca="false">IF(F152="","",IF(ROW()=2,INT((F152-$B$1)/7)+1,IF(INT((F152-$B$1)/7)&lt;&gt;INT((F151-$B$1)/7),INT((F152-$B$1)/7)+1,"")))</f>
        <v>51</v>
      </c>
      <c r="D152" s="2" t="str">
        <f aca="false">IF(C152="","","W"&amp;TEXT(C152,"00"))</f>
        <v>W51</v>
      </c>
      <c r="E152" s="2" t="n">
        <f aca="false">E151+1</f>
        <v>151</v>
      </c>
      <c r="F152" s="28" t="n">
        <f aca="false">IF(L152="","",IF(F151+L152&lt;=$B$2,F151+L152,""))</f>
        <v>44571</v>
      </c>
      <c r="G152" s="1" t="str">
        <f aca="false">IF(F152="","",TEXT(F152,"ddd"))</f>
        <v>Mon</v>
      </c>
      <c r="H152" s="2" t="str">
        <f aca="false">IF(F152="","",CHOOSE(WEEKDAY(F152,2),"Mo","Tu","We","Th","Fr","Sa","Su"))</f>
        <v>Mo</v>
      </c>
      <c r="I152" s="2" t="n">
        <f aca="false">IF(F152="","",MONTH(F152))</f>
        <v>1</v>
      </c>
      <c r="J152" s="2" t="str">
        <f aca="false">IF(F152="","",TEXT(F152,"mmm"))</f>
        <v>Jan</v>
      </c>
      <c r="K152" s="2" t="n">
        <f aca="false">IF(F152="","",DAY(F152))</f>
        <v>10</v>
      </c>
      <c r="L152" s="46" t="n">
        <f aca="false">IF(F151="","",MIN(IF(MID($B$3,WEEKDAY(F151+1,2),1)="C",1,99),IF(MID($B$3,WEEKDAY(F151+2,2),1)="C",2,99),IF(MID($B$3,WEEKDAY(F151+3,2),1)="C",3,99),IF(MID($B$3,WEEKDAY(F151+4,2),1)="C",4,99),IF(MID($B$3,WEEKDAY(F151+5,2),1)="C",5,99),IF(MID($B$3,WEEKDAY(F151+6,2),1)="C",6,99),IF(MID($B$3,WEEKDAY(F151+7,2),1)="C",7,99)))</f>
        <v>3</v>
      </c>
    </row>
    <row r="153" customFormat="false" ht="13.8" hidden="false" customHeight="false" outlineLevel="0" collapsed="false">
      <c r="C153" s="2" t="str">
        <f aca="false">IF(F153="","",IF(ROW()=2,INT((F153-$B$1)/7)+1,IF(INT((F153-$B$1)/7)&lt;&gt;INT((F152-$B$1)/7),INT((F153-$B$1)/7)+1,"")))</f>
        <v/>
      </c>
      <c r="D153" s="2" t="str">
        <f aca="false">IF(C153="","","W"&amp;TEXT(C153,"00"))</f>
        <v/>
      </c>
      <c r="E153" s="2" t="n">
        <f aca="false">E152+1</f>
        <v>152</v>
      </c>
      <c r="F153" s="28" t="n">
        <f aca="false">IF(L153="","",IF(F152+L153&lt;=$B$2,F152+L153,""))</f>
        <v>44573</v>
      </c>
      <c r="G153" s="1" t="str">
        <f aca="false">IF(F153="","",TEXT(F153,"ddd"))</f>
        <v>Wed</v>
      </c>
      <c r="H153" s="2" t="str">
        <f aca="false">IF(F153="","",CHOOSE(WEEKDAY(F153,2),"Mo","Tu","We","Th","Fr","Sa","Su"))</f>
        <v>We</v>
      </c>
      <c r="I153" s="2" t="n">
        <f aca="false">IF(F153="","",MONTH(F153))</f>
        <v>1</v>
      </c>
      <c r="J153" s="2" t="str">
        <f aca="false">IF(F153="","",TEXT(F153,"mmm"))</f>
        <v>Jan</v>
      </c>
      <c r="K153" s="2" t="n">
        <f aca="false">IF(F153="","",DAY(F153))</f>
        <v>12</v>
      </c>
      <c r="L153" s="46" t="n">
        <f aca="false">IF(F152="","",MIN(IF(MID($B$3,WEEKDAY(F152+1,2),1)="C",1,99),IF(MID($B$3,WEEKDAY(F152+2,2),1)="C",2,99),IF(MID($B$3,WEEKDAY(F152+3,2),1)="C",3,99),IF(MID($B$3,WEEKDAY(F152+4,2),1)="C",4,99),IF(MID($B$3,WEEKDAY(F152+5,2),1)="C",5,99),IF(MID($B$3,WEEKDAY(F152+6,2),1)="C",6,99),IF(MID($B$3,WEEKDAY(F152+7,2),1)="C",7,99)))</f>
        <v>2</v>
      </c>
    </row>
    <row r="154" customFormat="false" ht="13.8" hidden="false" customHeight="false" outlineLevel="0" collapsed="false">
      <c r="C154" s="2" t="str">
        <f aca="false">IF(F154="","",IF(ROW()=2,INT((F154-$B$1)/7)+1,IF(INT((F154-$B$1)/7)&lt;&gt;INT((F153-$B$1)/7),INT((F154-$B$1)/7)+1,"")))</f>
        <v/>
      </c>
      <c r="D154" s="2" t="str">
        <f aca="false">IF(C154="","","W"&amp;TEXT(C154,"00"))</f>
        <v/>
      </c>
      <c r="E154" s="2" t="n">
        <f aca="false">E153+1</f>
        <v>153</v>
      </c>
      <c r="F154" s="28" t="n">
        <f aca="false">IF(L154="","",IF(F153+L154&lt;=$B$2,F153+L154,""))</f>
        <v>44575</v>
      </c>
      <c r="G154" s="1" t="str">
        <f aca="false">IF(F154="","",TEXT(F154,"ddd"))</f>
        <v>Fri</v>
      </c>
      <c r="H154" s="2" t="str">
        <f aca="false">IF(F154="","",CHOOSE(WEEKDAY(F154,2),"Mo","Tu","We","Th","Fr","Sa","Su"))</f>
        <v>Fr</v>
      </c>
      <c r="I154" s="2" t="n">
        <f aca="false">IF(F154="","",MONTH(F154))</f>
        <v>1</v>
      </c>
      <c r="J154" s="2" t="str">
        <f aca="false">IF(F154="","",TEXT(F154,"mmm"))</f>
        <v>Jan</v>
      </c>
      <c r="K154" s="2" t="n">
        <f aca="false">IF(F154="","",DAY(F154))</f>
        <v>14</v>
      </c>
      <c r="L154" s="46" t="n">
        <f aca="false">IF(F153="","",MIN(IF(MID($B$3,WEEKDAY(F153+1,2),1)="C",1,99),IF(MID($B$3,WEEKDAY(F153+2,2),1)="C",2,99),IF(MID($B$3,WEEKDAY(F153+3,2),1)="C",3,99),IF(MID($B$3,WEEKDAY(F153+4,2),1)="C",4,99),IF(MID($B$3,WEEKDAY(F153+5,2),1)="C",5,99),IF(MID($B$3,WEEKDAY(F153+6,2),1)="C",6,99),IF(MID($B$3,WEEKDAY(F153+7,2),1)="C",7,99)))</f>
        <v>2</v>
      </c>
    </row>
    <row r="155" customFormat="false" ht="13.8" hidden="false" customHeight="false" outlineLevel="0" collapsed="false">
      <c r="C155" s="2" t="n">
        <f aca="false">IF(F155="","",IF(ROW()=2,INT((F155-$B$1)/7)+1,IF(INT((F155-$B$1)/7)&lt;&gt;INT((F154-$B$1)/7),INT((F155-$B$1)/7)+1,"")))</f>
        <v>52</v>
      </c>
      <c r="D155" s="2" t="str">
        <f aca="false">IF(C155="","","W"&amp;TEXT(C155,"00"))</f>
        <v>W52</v>
      </c>
      <c r="E155" s="2" t="n">
        <f aca="false">E154+1</f>
        <v>154</v>
      </c>
      <c r="F155" s="28" t="n">
        <f aca="false">IF(L155="","",IF(F154+L155&lt;=$B$2,F154+L155,""))</f>
        <v>44578</v>
      </c>
      <c r="G155" s="1" t="str">
        <f aca="false">IF(F155="","",TEXT(F155,"ddd"))</f>
        <v>Mon</v>
      </c>
      <c r="H155" s="2" t="str">
        <f aca="false">IF(F155="","",CHOOSE(WEEKDAY(F155,2),"Mo","Tu","We","Th","Fr","Sa","Su"))</f>
        <v>Mo</v>
      </c>
      <c r="I155" s="2" t="n">
        <f aca="false">IF(F155="","",MONTH(F155))</f>
        <v>1</v>
      </c>
      <c r="J155" s="2" t="str">
        <f aca="false">IF(F155="","",TEXT(F155,"mmm"))</f>
        <v>Jan</v>
      </c>
      <c r="K155" s="2" t="n">
        <f aca="false">IF(F155="","",DAY(F155))</f>
        <v>17</v>
      </c>
      <c r="L155" s="46" t="n">
        <f aca="false">IF(F154="","",MIN(IF(MID($B$3,WEEKDAY(F154+1,2),1)="C",1,99),IF(MID($B$3,WEEKDAY(F154+2,2),1)="C",2,99),IF(MID($B$3,WEEKDAY(F154+3,2),1)="C",3,99),IF(MID($B$3,WEEKDAY(F154+4,2),1)="C",4,99),IF(MID($B$3,WEEKDAY(F154+5,2),1)="C",5,99),IF(MID($B$3,WEEKDAY(F154+6,2),1)="C",6,99),IF(MID($B$3,WEEKDAY(F154+7,2),1)="C",7,99)))</f>
        <v>3</v>
      </c>
    </row>
    <row r="156" customFormat="false" ht="13.8" hidden="false" customHeight="false" outlineLevel="0" collapsed="false">
      <c r="C156" s="2" t="str">
        <f aca="false">IF(F156="","",IF(ROW()=2,INT((F156-$B$1)/7)+1,IF(INT((F156-$B$1)/7)&lt;&gt;INT((F155-$B$1)/7),INT((F156-$B$1)/7)+1,"")))</f>
        <v/>
      </c>
      <c r="D156" s="2" t="str">
        <f aca="false">IF(C156="","","W"&amp;TEXT(C156,"00"))</f>
        <v/>
      </c>
      <c r="E156" s="2" t="n">
        <f aca="false">E155+1</f>
        <v>155</v>
      </c>
      <c r="F156" s="28" t="n">
        <f aca="false">IF(L156="","",IF(F155+L156&lt;=$B$2,F155+L156,""))</f>
        <v>44580</v>
      </c>
      <c r="G156" s="1" t="str">
        <f aca="false">IF(F156="","",TEXT(F156,"ddd"))</f>
        <v>Wed</v>
      </c>
      <c r="H156" s="2" t="str">
        <f aca="false">IF(F156="","",CHOOSE(WEEKDAY(F156,2),"Mo","Tu","We","Th","Fr","Sa","Su"))</f>
        <v>We</v>
      </c>
      <c r="I156" s="2" t="n">
        <f aca="false">IF(F156="","",MONTH(F156))</f>
        <v>1</v>
      </c>
      <c r="J156" s="2" t="str">
        <f aca="false">IF(F156="","",TEXT(F156,"mmm"))</f>
        <v>Jan</v>
      </c>
      <c r="K156" s="2" t="n">
        <f aca="false">IF(F156="","",DAY(F156))</f>
        <v>19</v>
      </c>
      <c r="L156" s="46" t="n">
        <f aca="false">IF(F155="","",MIN(IF(MID($B$3,WEEKDAY(F155+1,2),1)="C",1,99),IF(MID($B$3,WEEKDAY(F155+2,2),1)="C",2,99),IF(MID($B$3,WEEKDAY(F155+3,2),1)="C",3,99),IF(MID($B$3,WEEKDAY(F155+4,2),1)="C",4,99),IF(MID($B$3,WEEKDAY(F155+5,2),1)="C",5,99),IF(MID($B$3,WEEKDAY(F155+6,2),1)="C",6,99),IF(MID($B$3,WEEKDAY(F155+7,2),1)="C",7,99)))</f>
        <v>2</v>
      </c>
    </row>
    <row r="157" customFormat="false" ht="13.8" hidden="false" customHeight="false" outlineLevel="0" collapsed="false">
      <c r="C157" s="2" t="str">
        <f aca="false">IF(F157="","",IF(ROW()=2,INT((F157-$B$1)/7)+1,IF(INT((F157-$B$1)/7)&lt;&gt;INT((F156-$B$1)/7),INT((F157-$B$1)/7)+1,"")))</f>
        <v/>
      </c>
      <c r="D157" s="2" t="str">
        <f aca="false">IF(C157="","","W"&amp;TEXT(C157,"00"))</f>
        <v/>
      </c>
      <c r="E157" s="2" t="n">
        <f aca="false">E156+1</f>
        <v>156</v>
      </c>
      <c r="F157" s="28" t="n">
        <f aca="false">IF(L157="","",IF(F156+L157&lt;=$B$2,F156+L157,""))</f>
        <v>44582</v>
      </c>
      <c r="G157" s="1" t="str">
        <f aca="false">IF(F157="","",TEXT(F157,"ddd"))</f>
        <v>Fri</v>
      </c>
      <c r="H157" s="2" t="str">
        <f aca="false">IF(F157="","",CHOOSE(WEEKDAY(F157,2),"Mo","Tu","We","Th","Fr","Sa","Su"))</f>
        <v>Fr</v>
      </c>
      <c r="I157" s="2" t="n">
        <f aca="false">IF(F157="","",MONTH(F157))</f>
        <v>1</v>
      </c>
      <c r="J157" s="2" t="str">
        <f aca="false">IF(F157="","",TEXT(F157,"mmm"))</f>
        <v>Jan</v>
      </c>
      <c r="K157" s="2" t="n">
        <f aca="false">IF(F157="","",DAY(F157))</f>
        <v>21</v>
      </c>
      <c r="L157" s="46" t="n">
        <f aca="false">IF(F156="","",MIN(IF(MID($B$3,WEEKDAY(F156+1,2),1)="C",1,99),IF(MID($B$3,WEEKDAY(F156+2,2),1)="C",2,99),IF(MID($B$3,WEEKDAY(F156+3,2),1)="C",3,99),IF(MID($B$3,WEEKDAY(F156+4,2),1)="C",4,99),IF(MID($B$3,WEEKDAY(F156+5,2),1)="C",5,99),IF(MID($B$3,WEEKDAY(F156+6,2),1)="C",6,99),IF(MID($B$3,WEEKDAY(F156+7,2),1)="C",7,99)))</f>
        <v>2</v>
      </c>
    </row>
    <row r="158" customFormat="false" ht="13.8" hidden="false" customHeight="false" outlineLevel="0" collapsed="false">
      <c r="C158" s="2" t="str">
        <f aca="false">IF(F158="","",IF(ROW()=2,INT((F158-$B$1)/7)+1,IF(INT((F158-$B$1)/7)&lt;&gt;INT((F157-$B$1)/7),INT((F158-$B$1)/7)+1,"")))</f>
        <v/>
      </c>
      <c r="D158" s="2" t="str">
        <f aca="false">IF(C158="","","W"&amp;TEXT(C158,"00"))</f>
        <v/>
      </c>
      <c r="E158" s="2" t="n">
        <f aca="false">E157+1</f>
        <v>157</v>
      </c>
      <c r="F158" s="28" t="str">
        <f aca="false">IF(L158="","",IF(F157+L158&lt;=$B$2,F157+L158,""))</f>
        <v/>
      </c>
      <c r="G158" s="1" t="str">
        <f aca="false">IF(F158="","",TEXT(F158,"ddd"))</f>
        <v/>
      </c>
      <c r="H158" s="2" t="str">
        <f aca="false">IF(F158="","",CHOOSE(WEEKDAY(F158,2),"Mo","Tu","We","Th","Fr","Sa","Su"))</f>
        <v/>
      </c>
      <c r="I158" s="2" t="str">
        <f aca="false">IF(F158="","",MONTH(F158))</f>
        <v/>
      </c>
      <c r="J158" s="2" t="str">
        <f aca="false">IF(F158="","",TEXT(F158,"mmm"))</f>
        <v/>
      </c>
      <c r="K158" s="2" t="str">
        <f aca="false">IF(F158="","",DAY(F158))</f>
        <v/>
      </c>
      <c r="L158" s="46" t="n">
        <f aca="false">IF(F157="","",MIN(IF(MID($B$3,WEEKDAY(F157+1,2),1)="C",1,99),IF(MID($B$3,WEEKDAY(F157+2,2),1)="C",2,99),IF(MID($B$3,WEEKDAY(F157+3,2),1)="C",3,99),IF(MID($B$3,WEEKDAY(F157+4,2),1)="C",4,99),IF(MID($B$3,WEEKDAY(F157+5,2),1)="C",5,99),IF(MID($B$3,WEEKDAY(F157+6,2),1)="C",6,99),IF(MID($B$3,WEEKDAY(F157+7,2),1)="C",7,99)))</f>
        <v>3</v>
      </c>
    </row>
    <row r="159" customFormat="false" ht="13.8" hidden="false" customHeight="false" outlineLevel="0" collapsed="false">
      <c r="C159" s="2" t="str">
        <f aca="false">IF(F159="","",IF(ROW()=2,INT((F159-$B$1)/7)+1,IF(INT((F159-$B$1)/7)&lt;&gt;INT((F158-$B$1)/7),INT((F159-$B$1)/7)+1,"")))</f>
        <v/>
      </c>
      <c r="D159" s="2" t="str">
        <f aca="false">IF(C159="","","W"&amp;TEXT(C159,"00"))</f>
        <v/>
      </c>
      <c r="E159" s="2" t="n">
        <f aca="false">E158+1</f>
        <v>158</v>
      </c>
      <c r="F159" s="28" t="str">
        <f aca="false">IF(L159="","",IF(F158+L159&lt;=$B$2,F158+L159,""))</f>
        <v/>
      </c>
      <c r="G159" s="1" t="str">
        <f aca="false">IF(F159="","",TEXT(F159,"ddd"))</f>
        <v/>
      </c>
      <c r="H159" s="2" t="str">
        <f aca="false">IF(F159="","",CHOOSE(WEEKDAY(F159,2),"Mo","Tu","We","Th","Fr","Sa","Su"))</f>
        <v/>
      </c>
      <c r="I159" s="2" t="str">
        <f aca="false">IF(F159="","",MONTH(F159))</f>
        <v/>
      </c>
      <c r="J159" s="2" t="str">
        <f aca="false">IF(F159="","",TEXT(F159,"mmm"))</f>
        <v/>
      </c>
      <c r="K159" s="2" t="str">
        <f aca="false">IF(F159="","",DAY(F159))</f>
        <v/>
      </c>
      <c r="L159" s="46" t="str">
        <f aca="false">IF(F158="","",MIN(IF(MID($B$3,WEEKDAY(F158+1,2),1)="C",1,99),IF(MID($B$3,WEEKDAY(F158+2,2),1)="C",2,99),IF(MID($B$3,WEEKDAY(F158+3,2),1)="C",3,99),IF(MID($B$3,WEEKDAY(F158+4,2),1)="C",4,99),IF(MID($B$3,WEEKDAY(F158+5,2),1)="C",5,99),IF(MID($B$3,WEEKDAY(F158+6,2),1)="C",6,99),IF(MID($B$3,WEEKDAY(F158+7,2),1)="C",7,99)))</f>
        <v/>
      </c>
    </row>
    <row r="160" customFormat="false" ht="13.8" hidden="false" customHeight="false" outlineLevel="0" collapsed="false">
      <c r="C160" s="2" t="str">
        <f aca="false">IF(F160="","",IF(ROW()=2,INT((F160-$B$1)/7)+1,IF(INT((F160-$B$1)/7)&lt;&gt;INT((F159-$B$1)/7),INT((F160-$B$1)/7)+1,"")))</f>
        <v/>
      </c>
      <c r="D160" s="2" t="str">
        <f aca="false">IF(C160="","","W"&amp;TEXT(C160,"00"))</f>
        <v/>
      </c>
      <c r="E160" s="2" t="n">
        <f aca="false">E159+1</f>
        <v>159</v>
      </c>
      <c r="F160" s="28" t="str">
        <f aca="false">IF(L160="","",IF(F159+L160&lt;=$B$2,F159+L160,""))</f>
        <v/>
      </c>
      <c r="G160" s="1" t="str">
        <f aca="false">IF(F160="","",TEXT(F160,"ddd"))</f>
        <v/>
      </c>
      <c r="H160" s="2" t="str">
        <f aca="false">IF(F160="","",CHOOSE(WEEKDAY(F160,2),"Mo","Tu","We","Th","Fr","Sa","Su"))</f>
        <v/>
      </c>
      <c r="I160" s="2" t="str">
        <f aca="false">IF(F160="","",MONTH(F160))</f>
        <v/>
      </c>
      <c r="J160" s="2" t="str">
        <f aca="false">IF(F160="","",TEXT(F160,"mmm"))</f>
        <v/>
      </c>
      <c r="K160" s="2" t="str">
        <f aca="false">IF(F160="","",DAY(F160))</f>
        <v/>
      </c>
      <c r="L160" s="46" t="str">
        <f aca="false">IF(F159="","",MIN(IF(MID($B$3,WEEKDAY(F159+1,2),1)="C",1,99),IF(MID($B$3,WEEKDAY(F159+2,2),1)="C",2,99),IF(MID($B$3,WEEKDAY(F159+3,2),1)="C",3,99),IF(MID($B$3,WEEKDAY(F159+4,2),1)="C",4,99),IF(MID($B$3,WEEKDAY(F159+5,2),1)="C",5,99),IF(MID($B$3,WEEKDAY(F159+6,2),1)="C",6,99),IF(MID($B$3,WEEKDAY(F159+7,2),1)="C",7,99)))</f>
        <v/>
      </c>
    </row>
    <row r="161" customFormat="false" ht="13.8" hidden="false" customHeight="false" outlineLevel="0" collapsed="false">
      <c r="C161" s="2" t="str">
        <f aca="false">IF(F161="","",IF(ROW()=2,INT((F161-$B$1)/7)+1,IF(INT((F161-$B$1)/7)&lt;&gt;INT((F160-$B$1)/7),INT((F161-$B$1)/7)+1,"")))</f>
        <v/>
      </c>
      <c r="D161" s="2" t="str">
        <f aca="false">IF(C161="","","W"&amp;TEXT(C161,"00"))</f>
        <v/>
      </c>
      <c r="E161" s="2" t="n">
        <f aca="false">E160+1</f>
        <v>160</v>
      </c>
      <c r="F161" s="28" t="str">
        <f aca="false">IF(L161="","",IF(F160+L161&lt;=$B$2,F160+L161,""))</f>
        <v/>
      </c>
      <c r="G161" s="1" t="str">
        <f aca="false">IF(F161="","",TEXT(F161,"ddd"))</f>
        <v/>
      </c>
      <c r="H161" s="2" t="str">
        <f aca="false">IF(F161="","",CHOOSE(WEEKDAY(F161,2),"Mo","Tu","We","Th","Fr","Sa","Su"))</f>
        <v/>
      </c>
      <c r="I161" s="2" t="str">
        <f aca="false">IF(F161="","",MONTH(F161))</f>
        <v/>
      </c>
      <c r="J161" s="2" t="str">
        <f aca="false">IF(F161="","",TEXT(F161,"mmm"))</f>
        <v/>
      </c>
      <c r="K161" s="2" t="str">
        <f aca="false">IF(F161="","",DAY(F161))</f>
        <v/>
      </c>
      <c r="L161" s="46" t="str">
        <f aca="false">IF(F160="","",MIN(IF(MID($B$3,WEEKDAY(F160+1,2),1)="C",1,99),IF(MID($B$3,WEEKDAY(F160+2,2),1)="C",2,99),IF(MID($B$3,WEEKDAY(F160+3,2),1)="C",3,99),IF(MID($B$3,WEEKDAY(F160+4,2),1)="C",4,99),IF(MID($B$3,WEEKDAY(F160+5,2),1)="C",5,99),IF(MID($B$3,WEEKDAY(F160+6,2),1)="C",6,99),IF(MID($B$3,WEEKDAY(F160+7,2),1)="C",7,99)))</f>
        <v/>
      </c>
    </row>
    <row r="162" customFormat="false" ht="13.8" hidden="false" customHeight="false" outlineLevel="0" collapsed="false">
      <c r="C162" s="2" t="str">
        <f aca="false">IF(F162="","",IF(ROW()=2,INT((F162-$B$1)/7)+1,IF(INT((F162-$B$1)/7)&lt;&gt;INT((F161-$B$1)/7),INT((F162-$B$1)/7)+1,"")))</f>
        <v/>
      </c>
      <c r="D162" s="2" t="str">
        <f aca="false">IF(C162="","","W"&amp;TEXT(C162,"00"))</f>
        <v/>
      </c>
      <c r="E162" s="2" t="n">
        <f aca="false">E161+1</f>
        <v>161</v>
      </c>
      <c r="F162" s="28" t="str">
        <f aca="false">IF(L162="","",IF(F161+L162&lt;=$B$2,F161+L162,""))</f>
        <v/>
      </c>
      <c r="G162" s="1" t="str">
        <f aca="false">IF(F162="","",TEXT(F162,"ddd"))</f>
        <v/>
      </c>
      <c r="H162" s="2" t="str">
        <f aca="false">IF(F162="","",CHOOSE(WEEKDAY(F162,2),"Mo","Tu","We","Th","Fr","Sa","Su"))</f>
        <v/>
      </c>
      <c r="I162" s="2" t="str">
        <f aca="false">IF(F162="","",MONTH(F162))</f>
        <v/>
      </c>
      <c r="J162" s="2" t="str">
        <f aca="false">IF(F162="","",TEXT(F162,"mmm"))</f>
        <v/>
      </c>
      <c r="K162" s="2" t="str">
        <f aca="false">IF(F162="","",DAY(F162))</f>
        <v/>
      </c>
      <c r="L162" s="46" t="str">
        <f aca="false">IF(F161="","",MIN(IF(MID($B$3,WEEKDAY(F161+1,2),1)="C",1,99),IF(MID($B$3,WEEKDAY(F161+2,2),1)="C",2,99),IF(MID($B$3,WEEKDAY(F161+3,2),1)="C",3,99),IF(MID($B$3,WEEKDAY(F161+4,2),1)="C",4,99),IF(MID($B$3,WEEKDAY(F161+5,2),1)="C",5,99),IF(MID($B$3,WEEKDAY(F161+6,2),1)="C",6,99),IF(MID($B$3,WEEKDAY(F161+7,2),1)="C",7,99)))</f>
        <v/>
      </c>
    </row>
    <row r="163" customFormat="false" ht="13.8" hidden="false" customHeight="false" outlineLevel="0" collapsed="false">
      <c r="C163" s="2" t="str">
        <f aca="false">IF(F163="","",IF(ROW()=2,INT((F163-$B$1)/7)+1,IF(INT((F163-$B$1)/7)&lt;&gt;INT((F162-$B$1)/7),INT((F163-$B$1)/7)+1,"")))</f>
        <v/>
      </c>
      <c r="D163" s="2" t="str">
        <f aca="false">IF(C163="","","W"&amp;TEXT(C163,"00"))</f>
        <v/>
      </c>
      <c r="E163" s="2" t="n">
        <f aca="false">E162+1</f>
        <v>162</v>
      </c>
      <c r="F163" s="28" t="str">
        <f aca="false">IF(L163="","",IF(F162+L163&lt;=$B$2,F162+L163,""))</f>
        <v/>
      </c>
      <c r="G163" s="1" t="str">
        <f aca="false">IF(F163="","",TEXT(F163,"ddd"))</f>
        <v/>
      </c>
      <c r="H163" s="2" t="str">
        <f aca="false">IF(F163="","",CHOOSE(WEEKDAY(F163,2),"Mo","Tu","We","Th","Fr","Sa","Su"))</f>
        <v/>
      </c>
      <c r="I163" s="2" t="str">
        <f aca="false">IF(F163="","",MONTH(F163))</f>
        <v/>
      </c>
      <c r="J163" s="2" t="str">
        <f aca="false">IF(F163="","",TEXT(F163,"mmm"))</f>
        <v/>
      </c>
      <c r="K163" s="2" t="str">
        <f aca="false">IF(F163="","",DAY(F163))</f>
        <v/>
      </c>
      <c r="L163" s="46" t="str">
        <f aca="false">IF(F162="","",MIN(IF(MID($B$3,WEEKDAY(F162+1,2),1)="C",1,99),IF(MID($B$3,WEEKDAY(F162+2,2),1)="C",2,99),IF(MID($B$3,WEEKDAY(F162+3,2),1)="C",3,99),IF(MID($B$3,WEEKDAY(F162+4,2),1)="C",4,99),IF(MID($B$3,WEEKDAY(F162+5,2),1)="C",5,99),IF(MID($B$3,WEEKDAY(F162+6,2),1)="C",6,99),IF(MID($B$3,WEEKDAY(F162+7,2),1)="C",7,99)))</f>
        <v/>
      </c>
    </row>
    <row r="164" customFormat="false" ht="13.8" hidden="false" customHeight="false" outlineLevel="0" collapsed="false">
      <c r="C164" s="2" t="str">
        <f aca="false">IF(F164="","",IF(ROW()=2,INT((F164-$B$1)/7)+1,IF(INT((F164-$B$1)/7)&lt;&gt;INT((F163-$B$1)/7),INT((F164-$B$1)/7)+1,"")))</f>
        <v/>
      </c>
      <c r="D164" s="2" t="str">
        <f aca="false">IF(C164="","","W"&amp;TEXT(C164,"00"))</f>
        <v/>
      </c>
      <c r="E164" s="2" t="n">
        <f aca="false">E163+1</f>
        <v>163</v>
      </c>
      <c r="F164" s="28" t="str">
        <f aca="false">IF(L164="","",IF(F163+L164&lt;=$B$2,F163+L164,""))</f>
        <v/>
      </c>
      <c r="G164" s="1" t="str">
        <f aca="false">IF(F164="","",TEXT(F164,"ddd"))</f>
        <v/>
      </c>
      <c r="H164" s="2" t="str">
        <f aca="false">IF(F164="","",CHOOSE(WEEKDAY(F164,2),"Mo","Tu","We","Th","Fr","Sa","Su"))</f>
        <v/>
      </c>
      <c r="I164" s="2" t="str">
        <f aca="false">IF(F164="","",MONTH(F164))</f>
        <v/>
      </c>
      <c r="J164" s="2" t="str">
        <f aca="false">IF(F164="","",TEXT(F164,"mmm"))</f>
        <v/>
      </c>
      <c r="K164" s="2" t="str">
        <f aca="false">IF(F164="","",DAY(F164))</f>
        <v/>
      </c>
      <c r="L164" s="46" t="str">
        <f aca="false">IF(F163="","",MIN(IF(MID($B$3,WEEKDAY(F163+1,2),1)="C",1,99),IF(MID($B$3,WEEKDAY(F163+2,2),1)="C",2,99),IF(MID($B$3,WEEKDAY(F163+3,2),1)="C",3,99),IF(MID($B$3,WEEKDAY(F163+4,2),1)="C",4,99),IF(MID($B$3,WEEKDAY(F163+5,2),1)="C",5,99),IF(MID($B$3,WEEKDAY(F163+6,2),1)="C",6,99),IF(MID($B$3,WEEKDAY(F163+7,2),1)="C",7,99)))</f>
        <v/>
      </c>
    </row>
    <row r="165" customFormat="false" ht="13.8" hidden="false" customHeight="false" outlineLevel="0" collapsed="false">
      <c r="C165" s="2" t="str">
        <f aca="false">IF(F165="","",IF(ROW()=2,INT((F165-$B$1)/7)+1,IF(INT((F165-$B$1)/7)&lt;&gt;INT((F164-$B$1)/7),INT((F165-$B$1)/7)+1,"")))</f>
        <v/>
      </c>
      <c r="D165" s="2" t="str">
        <f aca="false">IF(C165="","","W"&amp;TEXT(C165,"00"))</f>
        <v/>
      </c>
      <c r="E165" s="2" t="n">
        <f aca="false">E164+1</f>
        <v>164</v>
      </c>
      <c r="F165" s="28" t="str">
        <f aca="false">IF(L165="","",IF(F164+L165&lt;=$B$2,F164+L165,""))</f>
        <v/>
      </c>
      <c r="G165" s="1" t="str">
        <f aca="false">IF(F165="","",TEXT(F165,"ddd"))</f>
        <v/>
      </c>
      <c r="H165" s="2" t="str">
        <f aca="false">IF(F165="","",CHOOSE(WEEKDAY(F165,2),"Mo","Tu","We","Th","Fr","Sa","Su"))</f>
        <v/>
      </c>
      <c r="I165" s="2" t="str">
        <f aca="false">IF(F165="","",MONTH(F165))</f>
        <v/>
      </c>
      <c r="J165" s="2" t="str">
        <f aca="false">IF(F165="","",TEXT(F165,"mmm"))</f>
        <v/>
      </c>
      <c r="K165" s="2" t="str">
        <f aca="false">IF(F165="","",DAY(F165))</f>
        <v/>
      </c>
      <c r="L165" s="46" t="str">
        <f aca="false">IF(F164="","",MIN(IF(MID($B$3,WEEKDAY(F164+1,2),1)="C",1,99),IF(MID($B$3,WEEKDAY(F164+2,2),1)="C",2,99),IF(MID($B$3,WEEKDAY(F164+3,2),1)="C",3,99),IF(MID($B$3,WEEKDAY(F164+4,2),1)="C",4,99),IF(MID($B$3,WEEKDAY(F164+5,2),1)="C",5,99),IF(MID($B$3,WEEKDAY(F164+6,2),1)="C",6,99),IF(MID($B$3,WEEKDAY(F164+7,2),1)="C",7,99)))</f>
        <v/>
      </c>
    </row>
    <row r="166" customFormat="false" ht="13.8" hidden="false" customHeight="false" outlineLevel="0" collapsed="false">
      <c r="C166" s="2" t="str">
        <f aca="false">IF(F166="","",IF(ROW()=2,INT((F166-$B$1)/7)+1,IF(INT((F166-$B$1)/7)&lt;&gt;INT((F165-$B$1)/7),INT((F166-$B$1)/7)+1,"")))</f>
        <v/>
      </c>
      <c r="D166" s="2" t="str">
        <f aca="false">IF(C166="","","W"&amp;TEXT(C166,"00"))</f>
        <v/>
      </c>
      <c r="E166" s="2" t="n">
        <f aca="false">E165+1</f>
        <v>165</v>
      </c>
      <c r="F166" s="28" t="str">
        <f aca="false">IF(L166="","",IF(F165+L166&lt;=$B$2,F165+L166,""))</f>
        <v/>
      </c>
      <c r="G166" s="1" t="str">
        <f aca="false">IF(F166="","",TEXT(F166,"ddd"))</f>
        <v/>
      </c>
      <c r="H166" s="2" t="str">
        <f aca="false">IF(F166="","",CHOOSE(WEEKDAY(F166,2),"Mo","Tu","We","Th","Fr","Sa","Su"))</f>
        <v/>
      </c>
      <c r="I166" s="2" t="str">
        <f aca="false">IF(F166="","",MONTH(F166))</f>
        <v/>
      </c>
      <c r="J166" s="2" t="str">
        <f aca="false">IF(F166="","",TEXT(F166,"mmm"))</f>
        <v/>
      </c>
      <c r="K166" s="2" t="str">
        <f aca="false">IF(F166="","",DAY(F166))</f>
        <v/>
      </c>
      <c r="L166" s="46" t="str">
        <f aca="false">IF(F165="","",MIN(IF(MID($B$3,WEEKDAY(F165+1,2),1)="C",1,99),IF(MID($B$3,WEEKDAY(F165+2,2),1)="C",2,99),IF(MID($B$3,WEEKDAY(F165+3,2),1)="C",3,99),IF(MID($B$3,WEEKDAY(F165+4,2),1)="C",4,99),IF(MID($B$3,WEEKDAY(F165+5,2),1)="C",5,99),IF(MID($B$3,WEEKDAY(F165+6,2),1)="C",6,99),IF(MID($B$3,WEEKDAY(F165+7,2),1)="C",7,99)))</f>
        <v/>
      </c>
    </row>
    <row r="167" customFormat="false" ht="13.8" hidden="false" customHeight="false" outlineLevel="0" collapsed="false">
      <c r="C167" s="2" t="str">
        <f aca="false">IF(F167="","",IF(ROW()=2,INT((F167-$B$1)/7)+1,IF(INT((F167-$B$1)/7)&lt;&gt;INT((F166-$B$1)/7),INT((F167-$B$1)/7)+1,"")))</f>
        <v/>
      </c>
      <c r="D167" s="2" t="str">
        <f aca="false">IF(C167="","","W"&amp;TEXT(C167,"00"))</f>
        <v/>
      </c>
      <c r="E167" s="2" t="n">
        <f aca="false">E166+1</f>
        <v>166</v>
      </c>
      <c r="F167" s="28" t="str">
        <f aca="false">IF(L167="","",IF(F166+L167&lt;=$B$2,F166+L167,""))</f>
        <v/>
      </c>
      <c r="G167" s="1" t="str">
        <f aca="false">IF(F167="","",TEXT(F167,"ddd"))</f>
        <v/>
      </c>
      <c r="H167" s="2" t="str">
        <f aca="false">IF(F167="","",CHOOSE(WEEKDAY(F167,2),"Mo","Tu","We","Th","Fr","Sa","Su"))</f>
        <v/>
      </c>
      <c r="I167" s="2" t="str">
        <f aca="false">IF(F167="","",MONTH(F167))</f>
        <v/>
      </c>
      <c r="J167" s="2" t="str">
        <f aca="false">IF(F167="","",TEXT(F167,"mmm"))</f>
        <v/>
      </c>
      <c r="K167" s="2" t="str">
        <f aca="false">IF(F167="","",DAY(F167))</f>
        <v/>
      </c>
      <c r="L167" s="46" t="str">
        <f aca="false">IF(F166="","",MIN(IF(MID($B$3,WEEKDAY(F166+1,2),1)="C",1,99),IF(MID($B$3,WEEKDAY(F166+2,2),1)="C",2,99),IF(MID($B$3,WEEKDAY(F166+3,2),1)="C",3,99),IF(MID($B$3,WEEKDAY(F166+4,2),1)="C",4,99),IF(MID($B$3,WEEKDAY(F166+5,2),1)="C",5,99),IF(MID($B$3,WEEKDAY(F166+6,2),1)="C",6,99),IF(MID($B$3,WEEKDAY(F166+7,2),1)="C",7,99)))</f>
        <v/>
      </c>
    </row>
    <row r="168" customFormat="false" ht="13.8" hidden="false" customHeight="false" outlineLevel="0" collapsed="false">
      <c r="C168" s="2" t="str">
        <f aca="false">IF(F168="","",IF(ROW()=2,INT((F168-$B$1)/7)+1,IF(INT((F168-$B$1)/7)&lt;&gt;INT((F167-$B$1)/7),INT((F168-$B$1)/7)+1,"")))</f>
        <v/>
      </c>
      <c r="D168" s="2" t="str">
        <f aca="false">IF(C168="","","W"&amp;TEXT(C168,"00"))</f>
        <v/>
      </c>
      <c r="E168" s="2" t="n">
        <f aca="false">E167+1</f>
        <v>167</v>
      </c>
      <c r="F168" s="28" t="str">
        <f aca="false">IF(L168="","",IF(F167+L168&lt;=$B$2,F167+L168,""))</f>
        <v/>
      </c>
      <c r="G168" s="1" t="str">
        <f aca="false">IF(F168="","",TEXT(F168,"ddd"))</f>
        <v/>
      </c>
      <c r="H168" s="2" t="str">
        <f aca="false">IF(F168="","",CHOOSE(WEEKDAY(F168,2),"Mo","Tu","We","Th","Fr","Sa","Su"))</f>
        <v/>
      </c>
      <c r="I168" s="2" t="str">
        <f aca="false">IF(F168="","",MONTH(F168))</f>
        <v/>
      </c>
      <c r="J168" s="2" t="str">
        <f aca="false">IF(F168="","",TEXT(F168,"mmm"))</f>
        <v/>
      </c>
      <c r="K168" s="2" t="str">
        <f aca="false">IF(F168="","",DAY(F168))</f>
        <v/>
      </c>
      <c r="L168" s="46" t="str">
        <f aca="false">IF(F167="","",MIN(IF(MID($B$3,WEEKDAY(F167+1,2),1)="C",1,99),IF(MID($B$3,WEEKDAY(F167+2,2),1)="C",2,99),IF(MID($B$3,WEEKDAY(F167+3,2),1)="C",3,99),IF(MID($B$3,WEEKDAY(F167+4,2),1)="C",4,99),IF(MID($B$3,WEEKDAY(F167+5,2),1)="C",5,99),IF(MID($B$3,WEEKDAY(F167+6,2),1)="C",6,99),IF(MID($B$3,WEEKDAY(F167+7,2),1)="C",7,99)))</f>
        <v/>
      </c>
    </row>
    <row r="169" customFormat="false" ht="13.8" hidden="false" customHeight="false" outlineLevel="0" collapsed="false">
      <c r="C169" s="2" t="str">
        <f aca="false">IF(F169="","",IF(ROW()=2,INT((F169-$B$1)/7)+1,IF(INT((F169-$B$1)/7)&lt;&gt;INT((F168-$B$1)/7),INT((F169-$B$1)/7)+1,"")))</f>
        <v/>
      </c>
      <c r="D169" s="2" t="str">
        <f aca="false">IF(C169="","","W"&amp;TEXT(C169,"00"))</f>
        <v/>
      </c>
      <c r="E169" s="2" t="n">
        <f aca="false">E168+1</f>
        <v>168</v>
      </c>
      <c r="F169" s="28" t="str">
        <f aca="false">IF(L169="","",IF(F168+L169&lt;=$B$2,F168+L169,""))</f>
        <v/>
      </c>
      <c r="G169" s="1" t="str">
        <f aca="false">IF(F169="","",TEXT(F169,"ddd"))</f>
        <v/>
      </c>
      <c r="H169" s="2" t="str">
        <f aca="false">IF(F169="","",CHOOSE(WEEKDAY(F169,2),"Mo","Tu","We","Th","Fr","Sa","Su"))</f>
        <v/>
      </c>
      <c r="I169" s="2" t="str">
        <f aca="false">IF(F169="","",MONTH(F169))</f>
        <v/>
      </c>
      <c r="J169" s="2" t="str">
        <f aca="false">IF(F169="","",TEXT(F169,"mmm"))</f>
        <v/>
      </c>
      <c r="K169" s="2" t="str">
        <f aca="false">IF(F169="","",DAY(F169))</f>
        <v/>
      </c>
      <c r="L169" s="46" t="str">
        <f aca="false">IF(F168="","",MIN(IF(MID($B$3,WEEKDAY(F168+1,2),1)="C",1,99),IF(MID($B$3,WEEKDAY(F168+2,2),1)="C",2,99),IF(MID($B$3,WEEKDAY(F168+3,2),1)="C",3,99),IF(MID($B$3,WEEKDAY(F168+4,2),1)="C",4,99),IF(MID($B$3,WEEKDAY(F168+5,2),1)="C",5,99),IF(MID($B$3,WEEKDAY(F168+6,2),1)="C",6,99),IF(MID($B$3,WEEKDAY(F168+7,2),1)="C",7,99)))</f>
        <v/>
      </c>
    </row>
    <row r="170" customFormat="false" ht="13.8" hidden="false" customHeight="false" outlineLevel="0" collapsed="false">
      <c r="C170" s="2" t="str">
        <f aca="false">IF(F170="","",IF(ROW()=2,INT((F170-$B$1)/7)+1,IF(INT((F170-$B$1)/7)&lt;&gt;INT((F169-$B$1)/7),INT((F170-$B$1)/7)+1,"")))</f>
        <v/>
      </c>
      <c r="D170" s="2" t="str">
        <f aca="false">IF(C170="","","W"&amp;TEXT(C170,"00"))</f>
        <v/>
      </c>
      <c r="E170" s="2" t="n">
        <f aca="false">E169+1</f>
        <v>169</v>
      </c>
      <c r="F170" s="28" t="str">
        <f aca="false">IF(L170="","",IF(F169+L170&lt;=$B$2,F169+L170,""))</f>
        <v/>
      </c>
      <c r="G170" s="1" t="str">
        <f aca="false">IF(F170="","",TEXT(F170,"ddd"))</f>
        <v/>
      </c>
      <c r="H170" s="2" t="str">
        <f aca="false">IF(F170="","",CHOOSE(WEEKDAY(F170,2),"Mo","Tu","We","Th","Fr","Sa","Su"))</f>
        <v/>
      </c>
      <c r="I170" s="2" t="str">
        <f aca="false">IF(F170="","",MONTH(F170))</f>
        <v/>
      </c>
      <c r="J170" s="2" t="str">
        <f aca="false">IF(F170="","",TEXT(F170,"mmm"))</f>
        <v/>
      </c>
      <c r="K170" s="2" t="str">
        <f aca="false">IF(F170="","",DAY(F170))</f>
        <v/>
      </c>
      <c r="L170" s="46" t="str">
        <f aca="false">IF(F169="","",MIN(IF(MID($B$3,WEEKDAY(F169+1,2),1)="C",1,99),IF(MID($B$3,WEEKDAY(F169+2,2),1)="C",2,99),IF(MID($B$3,WEEKDAY(F169+3,2),1)="C",3,99),IF(MID($B$3,WEEKDAY(F169+4,2),1)="C",4,99),IF(MID($B$3,WEEKDAY(F169+5,2),1)="C",5,99),IF(MID($B$3,WEEKDAY(F169+6,2),1)="C",6,99),IF(MID($B$3,WEEKDAY(F169+7,2),1)="C",7,99)))</f>
        <v/>
      </c>
    </row>
    <row r="171" customFormat="false" ht="13.8" hidden="false" customHeight="false" outlineLevel="0" collapsed="false">
      <c r="C171" s="2" t="str">
        <f aca="false">IF(F171="","",IF(ROW()=2,INT((F171-$B$1)/7)+1,IF(INT((F171-$B$1)/7)&lt;&gt;INT((F170-$B$1)/7),INT((F171-$B$1)/7)+1,"")))</f>
        <v/>
      </c>
      <c r="D171" s="2" t="str">
        <f aca="false">IF(C171="","","W"&amp;TEXT(C171,"00"))</f>
        <v/>
      </c>
      <c r="E171" s="2" t="n">
        <f aca="false">E170+1</f>
        <v>170</v>
      </c>
      <c r="F171" s="28" t="str">
        <f aca="false">IF(L171="","",IF(F170+L171&lt;=$B$2,F170+L171,""))</f>
        <v/>
      </c>
      <c r="G171" s="1" t="str">
        <f aca="false">IF(F171="","",TEXT(F171,"ddd"))</f>
        <v/>
      </c>
      <c r="H171" s="2" t="str">
        <f aca="false">IF(F171="","",CHOOSE(WEEKDAY(F171,2),"Mo","Tu","We","Th","Fr","Sa","Su"))</f>
        <v/>
      </c>
      <c r="I171" s="2" t="str">
        <f aca="false">IF(F171="","",MONTH(F171))</f>
        <v/>
      </c>
      <c r="J171" s="2" t="str">
        <f aca="false">IF(F171="","",TEXT(F171,"mmm"))</f>
        <v/>
      </c>
      <c r="K171" s="2" t="str">
        <f aca="false">IF(F171="","",DAY(F171))</f>
        <v/>
      </c>
      <c r="L171" s="46" t="str">
        <f aca="false">IF(F170="","",MIN(IF(MID($B$3,WEEKDAY(F170+1,2),1)="C",1,99),IF(MID($B$3,WEEKDAY(F170+2,2),1)="C",2,99),IF(MID($B$3,WEEKDAY(F170+3,2),1)="C",3,99),IF(MID($B$3,WEEKDAY(F170+4,2),1)="C",4,99),IF(MID($B$3,WEEKDAY(F170+5,2),1)="C",5,99),IF(MID($B$3,WEEKDAY(F170+6,2),1)="C",6,99),IF(MID($B$3,WEEKDAY(F170+7,2),1)="C",7,99)))</f>
        <v/>
      </c>
    </row>
    <row r="172" customFormat="false" ht="13.8" hidden="false" customHeight="false" outlineLevel="0" collapsed="false">
      <c r="C172" s="2" t="str">
        <f aca="false">IF(F172="","",IF(ROW()=2,INT((F172-$B$1)/7)+1,IF(INT((F172-$B$1)/7)&lt;&gt;INT((F171-$B$1)/7),INT((F172-$B$1)/7)+1,"")))</f>
        <v/>
      </c>
      <c r="D172" s="2" t="str">
        <f aca="false">IF(C172="","","W"&amp;TEXT(C172,"00"))</f>
        <v/>
      </c>
      <c r="E172" s="2" t="n">
        <f aca="false">E171+1</f>
        <v>171</v>
      </c>
      <c r="F172" s="28" t="str">
        <f aca="false">IF(L172="","",IF(F171+L172&lt;=$B$2,F171+L172,""))</f>
        <v/>
      </c>
      <c r="G172" s="1" t="str">
        <f aca="false">IF(F172="","",TEXT(F172,"ddd"))</f>
        <v/>
      </c>
      <c r="H172" s="2" t="str">
        <f aca="false">IF(F172="","",CHOOSE(WEEKDAY(F172,2),"Mo","Tu","We","Th","Fr","Sa","Su"))</f>
        <v/>
      </c>
      <c r="I172" s="2" t="str">
        <f aca="false">IF(F172="","",MONTH(F172))</f>
        <v/>
      </c>
      <c r="J172" s="2" t="str">
        <f aca="false">IF(F172="","",TEXT(F172,"mmm"))</f>
        <v/>
      </c>
      <c r="K172" s="2" t="str">
        <f aca="false">IF(F172="","",DAY(F172))</f>
        <v/>
      </c>
      <c r="L172" s="46" t="str">
        <f aca="false">IF(F171="","",MIN(IF(MID($B$3,WEEKDAY(F171+1,2),1)="C",1,99),IF(MID($B$3,WEEKDAY(F171+2,2),1)="C",2,99),IF(MID($B$3,WEEKDAY(F171+3,2),1)="C",3,99),IF(MID($B$3,WEEKDAY(F171+4,2),1)="C",4,99),IF(MID($B$3,WEEKDAY(F171+5,2),1)="C",5,99),IF(MID($B$3,WEEKDAY(F171+6,2),1)="C",6,99),IF(MID($B$3,WEEKDAY(F171+7,2),1)="C",7,99)))</f>
        <v/>
      </c>
    </row>
    <row r="173" customFormat="false" ht="13.8" hidden="false" customHeight="false" outlineLevel="0" collapsed="false">
      <c r="C173" s="2" t="str">
        <f aca="false">IF(F173="","",IF(ROW()=2,INT((F173-$B$1)/7)+1,IF(INT((F173-$B$1)/7)&lt;&gt;INT((F172-$B$1)/7),INT((F173-$B$1)/7)+1,"")))</f>
        <v/>
      </c>
      <c r="D173" s="2" t="str">
        <f aca="false">IF(C173="","","W"&amp;TEXT(C173,"00"))</f>
        <v/>
      </c>
      <c r="E173" s="2" t="n">
        <f aca="false">E172+1</f>
        <v>172</v>
      </c>
      <c r="F173" s="28" t="str">
        <f aca="false">IF(L173="","",IF(F172+L173&lt;=$B$2,F172+L173,""))</f>
        <v/>
      </c>
      <c r="G173" s="1" t="str">
        <f aca="false">IF(F173="","",TEXT(F173,"ddd"))</f>
        <v/>
      </c>
      <c r="H173" s="2" t="str">
        <f aca="false">IF(F173="","",CHOOSE(WEEKDAY(F173,2),"Mo","Tu","We","Th","Fr","Sa","Su"))</f>
        <v/>
      </c>
      <c r="I173" s="2" t="str">
        <f aca="false">IF(F173="","",MONTH(F173))</f>
        <v/>
      </c>
      <c r="J173" s="2" t="str">
        <f aca="false">IF(F173="","",TEXT(F173,"mmm"))</f>
        <v/>
      </c>
      <c r="K173" s="2" t="str">
        <f aca="false">IF(F173="","",DAY(F173))</f>
        <v/>
      </c>
      <c r="L173" s="46" t="str">
        <f aca="false">IF(F172="","",MIN(IF(MID($B$3,WEEKDAY(F172+1,2),1)="C",1,99),IF(MID($B$3,WEEKDAY(F172+2,2),1)="C",2,99),IF(MID($B$3,WEEKDAY(F172+3,2),1)="C",3,99),IF(MID($B$3,WEEKDAY(F172+4,2),1)="C",4,99),IF(MID($B$3,WEEKDAY(F172+5,2),1)="C",5,99),IF(MID($B$3,WEEKDAY(F172+6,2),1)="C",6,99),IF(MID($B$3,WEEKDAY(F172+7,2),1)="C",7,99)))</f>
        <v/>
      </c>
    </row>
    <row r="174" customFormat="false" ht="13.8" hidden="false" customHeight="false" outlineLevel="0" collapsed="false">
      <c r="C174" s="2" t="str">
        <f aca="false">IF(F174="","",IF(ROW()=2,INT((F174-$B$1)/7)+1,IF(INT((F174-$B$1)/7)&lt;&gt;INT((F173-$B$1)/7),INT((F174-$B$1)/7)+1,"")))</f>
        <v/>
      </c>
      <c r="D174" s="2" t="str">
        <f aca="false">IF(C174="","","W"&amp;TEXT(C174,"00"))</f>
        <v/>
      </c>
      <c r="E174" s="2" t="n">
        <f aca="false">E173+1</f>
        <v>173</v>
      </c>
      <c r="F174" s="28" t="str">
        <f aca="false">IF(L174="","",IF(F173+L174&lt;=$B$2,F173+L174,""))</f>
        <v/>
      </c>
      <c r="G174" s="1" t="str">
        <f aca="false">IF(F174="","",TEXT(F174,"ddd"))</f>
        <v/>
      </c>
      <c r="H174" s="2" t="str">
        <f aca="false">IF(F174="","",CHOOSE(WEEKDAY(F174,2),"Mo","Tu","We","Th","Fr","Sa","Su"))</f>
        <v/>
      </c>
      <c r="I174" s="2" t="str">
        <f aca="false">IF(F174="","",MONTH(F174))</f>
        <v/>
      </c>
      <c r="J174" s="2" t="str">
        <f aca="false">IF(F174="","",TEXT(F174,"mmm"))</f>
        <v/>
      </c>
      <c r="K174" s="2" t="str">
        <f aca="false">IF(F174="","",DAY(F174))</f>
        <v/>
      </c>
      <c r="L174" s="46" t="str">
        <f aca="false">IF(F173="","",MIN(IF(MID($B$3,WEEKDAY(F173+1,2),1)="C",1,99),IF(MID($B$3,WEEKDAY(F173+2,2),1)="C",2,99),IF(MID($B$3,WEEKDAY(F173+3,2),1)="C",3,99),IF(MID($B$3,WEEKDAY(F173+4,2),1)="C",4,99),IF(MID($B$3,WEEKDAY(F173+5,2),1)="C",5,99),IF(MID($B$3,WEEKDAY(F173+6,2),1)="C",6,99),IF(MID($B$3,WEEKDAY(F173+7,2),1)="C",7,99)))</f>
        <v/>
      </c>
    </row>
    <row r="175" customFormat="false" ht="13.8" hidden="false" customHeight="false" outlineLevel="0" collapsed="false">
      <c r="C175" s="2" t="str">
        <f aca="false">IF(F175="","",IF(ROW()=2,INT((F175-$B$1)/7)+1,IF(INT((F175-$B$1)/7)&lt;&gt;INT((F174-$B$1)/7),INT((F175-$B$1)/7)+1,"")))</f>
        <v/>
      </c>
      <c r="D175" s="2" t="str">
        <f aca="false">IF(C175="","","W"&amp;TEXT(C175,"00"))</f>
        <v/>
      </c>
      <c r="E175" s="2" t="n">
        <f aca="false">E174+1</f>
        <v>174</v>
      </c>
      <c r="F175" s="28" t="str">
        <f aca="false">IF(L175="","",IF(F174+L175&lt;=$B$2,F174+L175,""))</f>
        <v/>
      </c>
      <c r="G175" s="1" t="str">
        <f aca="false">IF(F175="","",TEXT(F175,"ddd"))</f>
        <v/>
      </c>
      <c r="H175" s="2" t="str">
        <f aca="false">IF(F175="","",CHOOSE(WEEKDAY(F175,2),"Mo","Tu","We","Th","Fr","Sa","Su"))</f>
        <v/>
      </c>
      <c r="I175" s="2" t="str">
        <f aca="false">IF(F175="","",MONTH(F175))</f>
        <v/>
      </c>
      <c r="J175" s="2" t="str">
        <f aca="false">IF(F175="","",TEXT(F175,"mmm"))</f>
        <v/>
      </c>
      <c r="K175" s="2" t="str">
        <f aca="false">IF(F175="","",DAY(F175))</f>
        <v/>
      </c>
      <c r="L175" s="46" t="str">
        <f aca="false">IF(F174="","",MIN(IF(MID($B$3,WEEKDAY(F174+1,2),1)="C",1,99),IF(MID($B$3,WEEKDAY(F174+2,2),1)="C",2,99),IF(MID($B$3,WEEKDAY(F174+3,2),1)="C",3,99),IF(MID($B$3,WEEKDAY(F174+4,2),1)="C",4,99),IF(MID($B$3,WEEKDAY(F174+5,2),1)="C",5,99),IF(MID($B$3,WEEKDAY(F174+6,2),1)="C",6,99),IF(MID($B$3,WEEKDAY(F174+7,2),1)="C",7,99)))</f>
        <v/>
      </c>
    </row>
    <row r="176" customFormat="false" ht="13.8" hidden="false" customHeight="false" outlineLevel="0" collapsed="false">
      <c r="C176" s="2" t="str">
        <f aca="false">IF(F176="","",IF(ROW()=2,INT((F176-$B$1)/7)+1,IF(INT((F176-$B$1)/7)&lt;&gt;INT((F175-$B$1)/7),INT((F176-$B$1)/7)+1,"")))</f>
        <v/>
      </c>
      <c r="D176" s="2" t="str">
        <f aca="false">IF(C176="","","W"&amp;TEXT(C176,"00"))</f>
        <v/>
      </c>
      <c r="E176" s="2" t="n">
        <f aca="false">E175+1</f>
        <v>175</v>
      </c>
      <c r="F176" s="28" t="str">
        <f aca="false">IF(L176="","",IF(F175+L176&lt;=$B$2,F175+L176,""))</f>
        <v/>
      </c>
      <c r="G176" s="1" t="str">
        <f aca="false">IF(F176="","",TEXT(F176,"ddd"))</f>
        <v/>
      </c>
      <c r="H176" s="2" t="str">
        <f aca="false">IF(F176="","",CHOOSE(WEEKDAY(F176,2),"Mo","Tu","We","Th","Fr","Sa","Su"))</f>
        <v/>
      </c>
      <c r="I176" s="2" t="str">
        <f aca="false">IF(F176="","",MONTH(F176))</f>
        <v/>
      </c>
      <c r="J176" s="2" t="str">
        <f aca="false">IF(F176="","",TEXT(F176,"mmm"))</f>
        <v/>
      </c>
      <c r="K176" s="2" t="str">
        <f aca="false">IF(F176="","",DAY(F176))</f>
        <v/>
      </c>
      <c r="L176" s="46" t="str">
        <f aca="false">IF(F175="","",MIN(IF(MID($B$3,WEEKDAY(F175+1,2),1)="C",1,99),IF(MID($B$3,WEEKDAY(F175+2,2),1)="C",2,99),IF(MID($B$3,WEEKDAY(F175+3,2),1)="C",3,99),IF(MID($B$3,WEEKDAY(F175+4,2),1)="C",4,99),IF(MID($B$3,WEEKDAY(F175+5,2),1)="C",5,99),IF(MID($B$3,WEEKDAY(F175+6,2),1)="C",6,99),IF(MID($B$3,WEEKDAY(F175+7,2),1)="C",7,99)))</f>
        <v/>
      </c>
    </row>
    <row r="177" customFormat="false" ht="13.8" hidden="false" customHeight="false" outlineLevel="0" collapsed="false">
      <c r="C177" s="2" t="str">
        <f aca="false">IF(F177="","",IF(ROW()=2,INT((F177-$B$1)/7)+1,IF(INT((F177-$B$1)/7)&lt;&gt;INT((F176-$B$1)/7),INT((F177-$B$1)/7)+1,"")))</f>
        <v/>
      </c>
      <c r="D177" s="2" t="str">
        <f aca="false">IF(C177="","","W"&amp;TEXT(C177,"00"))</f>
        <v/>
      </c>
      <c r="E177" s="2" t="n">
        <f aca="false">E176+1</f>
        <v>176</v>
      </c>
      <c r="F177" s="28" t="str">
        <f aca="false">IF(L177="","",IF(F176+L177&lt;=$B$2,F176+L177,""))</f>
        <v/>
      </c>
      <c r="G177" s="1" t="str">
        <f aca="false">IF(F177="","",TEXT(F177,"ddd"))</f>
        <v/>
      </c>
      <c r="H177" s="2" t="str">
        <f aca="false">IF(F177="","",CHOOSE(WEEKDAY(F177,2),"Mo","Tu","We","Th","Fr","Sa","Su"))</f>
        <v/>
      </c>
      <c r="I177" s="2" t="str">
        <f aca="false">IF(F177="","",MONTH(F177))</f>
        <v/>
      </c>
      <c r="J177" s="2" t="str">
        <f aca="false">IF(F177="","",TEXT(F177,"mmm"))</f>
        <v/>
      </c>
      <c r="K177" s="2" t="str">
        <f aca="false">IF(F177="","",DAY(F177))</f>
        <v/>
      </c>
      <c r="L177" s="46" t="str">
        <f aca="false">IF(F176="","",MIN(IF(MID($B$3,WEEKDAY(F176+1,2),1)="C",1,99),IF(MID($B$3,WEEKDAY(F176+2,2),1)="C",2,99),IF(MID($B$3,WEEKDAY(F176+3,2),1)="C",3,99),IF(MID($B$3,WEEKDAY(F176+4,2),1)="C",4,99),IF(MID($B$3,WEEKDAY(F176+5,2),1)="C",5,99),IF(MID($B$3,WEEKDAY(F176+6,2),1)="C",6,99),IF(MID($B$3,WEEKDAY(F176+7,2),1)="C",7,99)))</f>
        <v/>
      </c>
    </row>
    <row r="178" customFormat="false" ht="13.8" hidden="false" customHeight="false" outlineLevel="0" collapsed="false">
      <c r="C178" s="2" t="str">
        <f aca="false">IF(F178="","",IF(ROW()=2,INT((F178-$B$1)/7)+1,IF(INT((F178-$B$1)/7)&lt;&gt;INT((F177-$B$1)/7),INT((F178-$B$1)/7)+1,"")))</f>
        <v/>
      </c>
      <c r="D178" s="2" t="str">
        <f aca="false">IF(C178="","","W"&amp;TEXT(C178,"00"))</f>
        <v/>
      </c>
      <c r="E178" s="2" t="n">
        <f aca="false">E177+1</f>
        <v>177</v>
      </c>
      <c r="F178" s="28" t="str">
        <f aca="false">IF(L178="","",IF(F177+L178&lt;=$B$2,F177+L178,""))</f>
        <v/>
      </c>
      <c r="G178" s="1" t="str">
        <f aca="false">IF(F178="","",TEXT(F178,"ddd"))</f>
        <v/>
      </c>
      <c r="H178" s="2" t="str">
        <f aca="false">IF(F178="","",CHOOSE(WEEKDAY(F178,2),"Mo","Tu","We","Th","Fr","Sa","Su"))</f>
        <v/>
      </c>
      <c r="I178" s="2" t="str">
        <f aca="false">IF(F178="","",MONTH(F178))</f>
        <v/>
      </c>
      <c r="J178" s="2" t="str">
        <f aca="false">IF(F178="","",TEXT(F178,"mmm"))</f>
        <v/>
      </c>
      <c r="K178" s="2" t="str">
        <f aca="false">IF(F178="","",DAY(F178))</f>
        <v/>
      </c>
      <c r="L178" s="46" t="str">
        <f aca="false">IF(F177="","",MIN(IF(MID($B$3,WEEKDAY(F177+1,2),1)="C",1,99),IF(MID($B$3,WEEKDAY(F177+2,2),1)="C",2,99),IF(MID($B$3,WEEKDAY(F177+3,2),1)="C",3,99),IF(MID($B$3,WEEKDAY(F177+4,2),1)="C",4,99),IF(MID($B$3,WEEKDAY(F177+5,2),1)="C",5,99),IF(MID($B$3,WEEKDAY(F177+6,2),1)="C",6,99),IF(MID($B$3,WEEKDAY(F177+7,2),1)="C",7,99)))</f>
        <v/>
      </c>
    </row>
    <row r="179" customFormat="false" ht="13.8" hidden="false" customHeight="false" outlineLevel="0" collapsed="false">
      <c r="C179" s="2" t="str">
        <f aca="false">IF(F179="","",IF(ROW()=2,INT((F179-$B$1)/7)+1,IF(INT((F179-$B$1)/7)&lt;&gt;INT((F178-$B$1)/7),INT((F179-$B$1)/7)+1,"")))</f>
        <v/>
      </c>
      <c r="D179" s="2" t="str">
        <f aca="false">IF(C179="","","W"&amp;TEXT(C179,"00"))</f>
        <v/>
      </c>
      <c r="E179" s="2" t="n">
        <f aca="false">E178+1</f>
        <v>178</v>
      </c>
      <c r="F179" s="28" t="str">
        <f aca="false">IF(L179="","",IF(F178+L179&lt;=$B$2,F178+L179,""))</f>
        <v/>
      </c>
      <c r="G179" s="1" t="str">
        <f aca="false">IF(F179="","",TEXT(F179,"ddd"))</f>
        <v/>
      </c>
      <c r="H179" s="2" t="str">
        <f aca="false">IF(F179="","",CHOOSE(WEEKDAY(F179,2),"Mo","Tu","We","Th","Fr","Sa","Su"))</f>
        <v/>
      </c>
      <c r="I179" s="2" t="str">
        <f aca="false">IF(F179="","",MONTH(F179))</f>
        <v/>
      </c>
      <c r="J179" s="2" t="str">
        <f aca="false">IF(F179="","",TEXT(F179,"mmm"))</f>
        <v/>
      </c>
      <c r="K179" s="2" t="str">
        <f aca="false">IF(F179="","",DAY(F179))</f>
        <v/>
      </c>
      <c r="L179" s="46" t="str">
        <f aca="false">IF(F178="","",MIN(IF(MID($B$3,WEEKDAY(F178+1,2),1)="C",1,99),IF(MID($B$3,WEEKDAY(F178+2,2),1)="C",2,99),IF(MID($B$3,WEEKDAY(F178+3,2),1)="C",3,99),IF(MID($B$3,WEEKDAY(F178+4,2),1)="C",4,99),IF(MID($B$3,WEEKDAY(F178+5,2),1)="C",5,99),IF(MID($B$3,WEEKDAY(F178+6,2),1)="C",6,99),IF(MID($B$3,WEEKDAY(F178+7,2),1)="C",7,99)))</f>
        <v/>
      </c>
    </row>
    <row r="180" customFormat="false" ht="13.8" hidden="false" customHeight="false" outlineLevel="0" collapsed="false">
      <c r="C180" s="2" t="str">
        <f aca="false">IF(F180="","",IF(ROW()=2,INT((F180-$B$1)/7)+1,IF(INT((F180-$B$1)/7)&lt;&gt;INT((F179-$B$1)/7),INT((F180-$B$1)/7)+1,"")))</f>
        <v/>
      </c>
      <c r="D180" s="2" t="str">
        <f aca="false">IF(C180="","","W"&amp;TEXT(C180,"00"))</f>
        <v/>
      </c>
      <c r="E180" s="2" t="n">
        <f aca="false">E179+1</f>
        <v>179</v>
      </c>
      <c r="F180" s="28" t="str">
        <f aca="false">IF(L180="","",IF(F179+L180&lt;=$B$2,F179+L180,""))</f>
        <v/>
      </c>
      <c r="G180" s="1" t="str">
        <f aca="false">IF(F180="","",TEXT(F180,"ddd"))</f>
        <v/>
      </c>
      <c r="H180" s="2" t="str">
        <f aca="false">IF(F180="","",CHOOSE(WEEKDAY(F180,2),"Mo","Tu","We","Th","Fr","Sa","Su"))</f>
        <v/>
      </c>
      <c r="I180" s="2" t="str">
        <f aca="false">IF(F180="","",MONTH(F180))</f>
        <v/>
      </c>
      <c r="J180" s="2" t="str">
        <f aca="false">IF(F180="","",TEXT(F180,"mmm"))</f>
        <v/>
      </c>
      <c r="K180" s="2" t="str">
        <f aca="false">IF(F180="","",DAY(F180))</f>
        <v/>
      </c>
      <c r="L180" s="46" t="str">
        <f aca="false">IF(F179="","",MIN(IF(MID($B$3,WEEKDAY(F179+1,2),1)="C",1,99),IF(MID($B$3,WEEKDAY(F179+2,2),1)="C",2,99),IF(MID($B$3,WEEKDAY(F179+3,2),1)="C",3,99),IF(MID($B$3,WEEKDAY(F179+4,2),1)="C",4,99),IF(MID($B$3,WEEKDAY(F179+5,2),1)="C",5,99),IF(MID($B$3,WEEKDAY(F179+6,2),1)="C",6,99),IF(MID($B$3,WEEKDAY(F179+7,2),1)="C",7,99)))</f>
        <v/>
      </c>
    </row>
    <row r="181" customFormat="false" ht="13.8" hidden="false" customHeight="false" outlineLevel="0" collapsed="false">
      <c r="C181" s="2" t="str">
        <f aca="false">IF(F181="","",IF(ROW()=2,INT((F181-$B$1)/7)+1,IF(INT((F181-$B$1)/7)&lt;&gt;INT((F180-$B$1)/7),INT((F181-$B$1)/7)+1,"")))</f>
        <v/>
      </c>
      <c r="D181" s="2" t="str">
        <f aca="false">IF(C181="","","W"&amp;TEXT(C181,"00"))</f>
        <v/>
      </c>
      <c r="E181" s="2" t="n">
        <f aca="false">E180+1</f>
        <v>180</v>
      </c>
      <c r="F181" s="28" t="str">
        <f aca="false">IF(L181="","",IF(F180+L181&lt;=$B$2,F180+L181,""))</f>
        <v/>
      </c>
      <c r="G181" s="1" t="str">
        <f aca="false">IF(F181="","",TEXT(F181,"ddd"))</f>
        <v/>
      </c>
      <c r="H181" s="2" t="str">
        <f aca="false">IF(F181="","",CHOOSE(WEEKDAY(F181,2),"Mo","Tu","We","Th","Fr","Sa","Su"))</f>
        <v/>
      </c>
      <c r="I181" s="2" t="str">
        <f aca="false">IF(F181="","",MONTH(F181))</f>
        <v/>
      </c>
      <c r="J181" s="2" t="str">
        <f aca="false">IF(F181="","",TEXT(F181,"mmm"))</f>
        <v/>
      </c>
      <c r="K181" s="2" t="str">
        <f aca="false">IF(F181="","",DAY(F181))</f>
        <v/>
      </c>
      <c r="L181" s="46" t="str">
        <f aca="false">IF(F180="","",MIN(IF(MID($B$3,WEEKDAY(F180+1,2),1)="C",1,99),IF(MID($B$3,WEEKDAY(F180+2,2),1)="C",2,99),IF(MID($B$3,WEEKDAY(F180+3,2),1)="C",3,99),IF(MID($B$3,WEEKDAY(F180+4,2),1)="C",4,99),IF(MID($B$3,WEEKDAY(F180+5,2),1)="C",5,99),IF(MID($B$3,WEEKDAY(F180+6,2),1)="C",6,99),IF(MID($B$3,WEEKDAY(F180+7,2),1)="C",7,99)))</f>
        <v/>
      </c>
    </row>
    <row r="182" customFormat="false" ht="13.8" hidden="false" customHeight="false" outlineLevel="0" collapsed="false">
      <c r="C182" s="2" t="str">
        <f aca="false">IF(F182="","",IF(ROW()=2,INT((F182-$B$1)/7)+1,IF(INT((F182-$B$1)/7)&lt;&gt;INT((F181-$B$1)/7),INT((F182-$B$1)/7)+1,"")))</f>
        <v/>
      </c>
      <c r="D182" s="2" t="str">
        <f aca="false">IF(C182="","","W"&amp;TEXT(C182,"00"))</f>
        <v/>
      </c>
      <c r="E182" s="2" t="n">
        <f aca="false">E181+1</f>
        <v>181</v>
      </c>
      <c r="F182" s="28" t="str">
        <f aca="false">IF(L182="","",IF(F181+L182&lt;=$B$2,F181+L182,""))</f>
        <v/>
      </c>
      <c r="G182" s="1" t="str">
        <f aca="false">IF(F182="","",TEXT(F182,"ddd"))</f>
        <v/>
      </c>
      <c r="H182" s="2" t="str">
        <f aca="false">IF(F182="","",CHOOSE(WEEKDAY(F182,2),"Mo","Tu","We","Th","Fr","Sa","Su"))</f>
        <v/>
      </c>
      <c r="I182" s="2" t="str">
        <f aca="false">IF(F182="","",MONTH(F182))</f>
        <v/>
      </c>
      <c r="J182" s="2" t="str">
        <f aca="false">IF(F182="","",TEXT(F182,"mmm"))</f>
        <v/>
      </c>
      <c r="K182" s="2" t="str">
        <f aca="false">IF(F182="","",DAY(F182))</f>
        <v/>
      </c>
      <c r="L182" s="46" t="str">
        <f aca="false">IF(F181="","",MIN(IF(MID($B$3,WEEKDAY(F181+1,2),1)="C",1,99),IF(MID($B$3,WEEKDAY(F181+2,2),1)="C",2,99),IF(MID($B$3,WEEKDAY(F181+3,2),1)="C",3,99),IF(MID($B$3,WEEKDAY(F181+4,2),1)="C",4,99),IF(MID($B$3,WEEKDAY(F181+5,2),1)="C",5,99),IF(MID($B$3,WEEKDAY(F181+6,2),1)="C",6,99),IF(MID($B$3,WEEKDAY(F181+7,2),1)="C",7,99)))</f>
        <v/>
      </c>
    </row>
    <row r="183" customFormat="false" ht="13.8" hidden="false" customHeight="false" outlineLevel="0" collapsed="false">
      <c r="C183" s="2" t="str">
        <f aca="false">IF(F183="","",IF(ROW()=2,INT((F183-$B$1)/7)+1,IF(INT((F183-$B$1)/7)&lt;&gt;INT((F182-$B$1)/7),INT((F183-$B$1)/7)+1,"")))</f>
        <v/>
      </c>
      <c r="D183" s="2" t="str">
        <f aca="false">IF(C183="","","W"&amp;TEXT(C183,"00"))</f>
        <v/>
      </c>
      <c r="E183" s="2" t="n">
        <f aca="false">E182+1</f>
        <v>182</v>
      </c>
      <c r="F183" s="28" t="str">
        <f aca="false">IF(L183="","",IF(F182+L183&lt;=$B$2,F182+L183,""))</f>
        <v/>
      </c>
      <c r="G183" s="1" t="str">
        <f aca="false">IF(F183="","",TEXT(F183,"ddd"))</f>
        <v/>
      </c>
      <c r="H183" s="2" t="str">
        <f aca="false">IF(F183="","",CHOOSE(WEEKDAY(F183,2),"Mo","Tu","We","Th","Fr","Sa","Su"))</f>
        <v/>
      </c>
      <c r="I183" s="2" t="str">
        <f aca="false">IF(F183="","",MONTH(F183))</f>
        <v/>
      </c>
      <c r="J183" s="2" t="str">
        <f aca="false">IF(F183="","",TEXT(F183,"mmm"))</f>
        <v/>
      </c>
      <c r="K183" s="2" t="str">
        <f aca="false">IF(F183="","",DAY(F183))</f>
        <v/>
      </c>
      <c r="L183" s="46" t="str">
        <f aca="false">IF(F182="","",MIN(IF(MID($B$3,WEEKDAY(F182+1,2),1)="C",1,99),IF(MID($B$3,WEEKDAY(F182+2,2),1)="C",2,99),IF(MID($B$3,WEEKDAY(F182+3,2),1)="C",3,99),IF(MID($B$3,WEEKDAY(F182+4,2),1)="C",4,99),IF(MID($B$3,WEEKDAY(F182+5,2),1)="C",5,99),IF(MID($B$3,WEEKDAY(F182+6,2),1)="C",6,99),IF(MID($B$3,WEEKDAY(F182+7,2),1)="C",7,99)))</f>
        <v/>
      </c>
    </row>
    <row r="184" customFormat="false" ht="13.8" hidden="false" customHeight="false" outlineLevel="0" collapsed="false">
      <c r="C184" s="2" t="str">
        <f aca="false">IF(F184="","",IF(ROW()=2,INT((F184-$B$1)/7)+1,IF(INT((F184-$B$1)/7)&lt;&gt;INT((F183-$B$1)/7),INT((F184-$B$1)/7)+1,"")))</f>
        <v/>
      </c>
      <c r="D184" s="2" t="str">
        <f aca="false">IF(C184="","","W"&amp;TEXT(C184,"00"))</f>
        <v/>
      </c>
      <c r="E184" s="2" t="n">
        <f aca="false">E183+1</f>
        <v>183</v>
      </c>
      <c r="F184" s="28" t="str">
        <f aca="false">IF(L184="","",IF(F183+L184&lt;=$B$2,F183+L184,""))</f>
        <v/>
      </c>
      <c r="G184" s="1" t="str">
        <f aca="false">IF(F184="","",TEXT(F184,"ddd"))</f>
        <v/>
      </c>
      <c r="H184" s="2" t="str">
        <f aca="false">IF(F184="","",CHOOSE(WEEKDAY(F184,2),"Mo","Tu","We","Th","Fr","Sa","Su"))</f>
        <v/>
      </c>
      <c r="I184" s="2" t="str">
        <f aca="false">IF(F184="","",MONTH(F184))</f>
        <v/>
      </c>
      <c r="J184" s="2" t="str">
        <f aca="false">IF(F184="","",TEXT(F184,"mmm"))</f>
        <v/>
      </c>
      <c r="K184" s="2" t="str">
        <f aca="false">IF(F184="","",DAY(F184))</f>
        <v/>
      </c>
      <c r="L184" s="46" t="str">
        <f aca="false">IF(F183="","",MIN(IF(MID($B$3,WEEKDAY(F183+1,2),1)="C",1,99),IF(MID($B$3,WEEKDAY(F183+2,2),1)="C",2,99),IF(MID($B$3,WEEKDAY(F183+3,2),1)="C",3,99),IF(MID($B$3,WEEKDAY(F183+4,2),1)="C",4,99),IF(MID($B$3,WEEKDAY(F183+5,2),1)="C",5,99),IF(MID($B$3,WEEKDAY(F183+6,2),1)="C",6,99),IF(MID($B$3,WEEKDAY(F183+7,2),1)="C",7,99)))</f>
        <v/>
      </c>
    </row>
    <row r="185" customFormat="false" ht="13.8" hidden="false" customHeight="false" outlineLevel="0" collapsed="false">
      <c r="C185" s="2" t="str">
        <f aca="false">IF(F185="","",IF(ROW()=2,INT((F185-$B$1)/7)+1,IF(INT((F185-$B$1)/7)&lt;&gt;INT((F184-$B$1)/7),INT((F185-$B$1)/7)+1,"")))</f>
        <v/>
      </c>
      <c r="D185" s="2" t="str">
        <f aca="false">IF(C185="","","W"&amp;TEXT(C185,"00"))</f>
        <v/>
      </c>
      <c r="E185" s="2" t="n">
        <f aca="false">E184+1</f>
        <v>184</v>
      </c>
      <c r="F185" s="28" t="str">
        <f aca="false">IF(L185="","",IF(F184+L185&lt;=$B$2,F184+L185,""))</f>
        <v/>
      </c>
      <c r="G185" s="1" t="str">
        <f aca="false">IF(F185="","",TEXT(F185,"ddd"))</f>
        <v/>
      </c>
      <c r="H185" s="2" t="str">
        <f aca="false">IF(F185="","",CHOOSE(WEEKDAY(F185,2),"Mo","Tu","We","Th","Fr","Sa","Su"))</f>
        <v/>
      </c>
      <c r="I185" s="2" t="str">
        <f aca="false">IF(F185="","",MONTH(F185))</f>
        <v/>
      </c>
      <c r="J185" s="2" t="str">
        <f aca="false">IF(F185="","",TEXT(F185,"mmm"))</f>
        <v/>
      </c>
      <c r="K185" s="2" t="str">
        <f aca="false">IF(F185="","",DAY(F185))</f>
        <v/>
      </c>
      <c r="L185" s="46" t="str">
        <f aca="false">IF(F184="","",MIN(IF(MID($B$3,WEEKDAY(F184+1,2),1)="C",1,99),IF(MID($B$3,WEEKDAY(F184+2,2),1)="C",2,99),IF(MID($B$3,WEEKDAY(F184+3,2),1)="C",3,99),IF(MID($B$3,WEEKDAY(F184+4,2),1)="C",4,99),IF(MID($B$3,WEEKDAY(F184+5,2),1)="C",5,99),IF(MID($B$3,WEEKDAY(F184+6,2),1)="C",6,99),IF(MID($B$3,WEEKDAY(F184+7,2),1)="C",7,99)))</f>
        <v/>
      </c>
    </row>
    <row r="186" customFormat="false" ht="13.8" hidden="false" customHeight="false" outlineLevel="0" collapsed="false">
      <c r="C186" s="2" t="str">
        <f aca="false">IF(F186="","",IF(ROW()=2,INT((F186-$B$1)/7)+1,IF(INT((F186-$B$1)/7)&lt;&gt;INT((F185-$B$1)/7),INT((F186-$B$1)/7)+1,"")))</f>
        <v/>
      </c>
      <c r="D186" s="2" t="str">
        <f aca="false">IF(C186="","","W"&amp;TEXT(C186,"00"))</f>
        <v/>
      </c>
      <c r="E186" s="2" t="n">
        <f aca="false">E185+1</f>
        <v>185</v>
      </c>
      <c r="F186" s="28" t="str">
        <f aca="false">IF(L186="","",IF(F185+L186&lt;=$B$2,F185+L186,""))</f>
        <v/>
      </c>
      <c r="G186" s="1" t="str">
        <f aca="false">IF(F186="","",TEXT(F186,"ddd"))</f>
        <v/>
      </c>
      <c r="H186" s="2" t="str">
        <f aca="false">IF(F186="","",CHOOSE(WEEKDAY(F186,2),"Mo","Tu","We","Th","Fr","Sa","Su"))</f>
        <v/>
      </c>
      <c r="I186" s="2" t="str">
        <f aca="false">IF(F186="","",MONTH(F186))</f>
        <v/>
      </c>
      <c r="J186" s="2" t="str">
        <f aca="false">IF(F186="","",TEXT(F186,"mmm"))</f>
        <v/>
      </c>
      <c r="K186" s="2" t="str">
        <f aca="false">IF(F186="","",DAY(F186))</f>
        <v/>
      </c>
      <c r="L186" s="46" t="str">
        <f aca="false">IF(F185="","",MIN(IF(MID($B$3,WEEKDAY(F185+1,2),1)="C",1,99),IF(MID($B$3,WEEKDAY(F185+2,2),1)="C",2,99),IF(MID($B$3,WEEKDAY(F185+3,2),1)="C",3,99),IF(MID($B$3,WEEKDAY(F185+4,2),1)="C",4,99),IF(MID($B$3,WEEKDAY(F185+5,2),1)="C",5,99),IF(MID($B$3,WEEKDAY(F185+6,2),1)="C",6,99),IF(MID($B$3,WEEKDAY(F185+7,2),1)="C",7,99)))</f>
        <v/>
      </c>
    </row>
    <row r="187" customFormat="false" ht="13.8" hidden="false" customHeight="false" outlineLevel="0" collapsed="false">
      <c r="C187" s="2" t="str">
        <f aca="false">IF(F187="","",IF(ROW()=2,INT((F187-$B$1)/7)+1,IF(INT((F187-$B$1)/7)&lt;&gt;INT((F186-$B$1)/7),INT((F187-$B$1)/7)+1,"")))</f>
        <v/>
      </c>
      <c r="D187" s="2" t="str">
        <f aca="false">IF(C187="","","W"&amp;TEXT(C187,"00"))</f>
        <v/>
      </c>
      <c r="E187" s="2" t="n">
        <f aca="false">E186+1</f>
        <v>186</v>
      </c>
      <c r="F187" s="28" t="str">
        <f aca="false">IF(L187="","",IF(F186+L187&lt;=$B$2,F186+L187,""))</f>
        <v/>
      </c>
      <c r="G187" s="1" t="str">
        <f aca="false">IF(F187="","",TEXT(F187,"ddd"))</f>
        <v/>
      </c>
      <c r="H187" s="2" t="str">
        <f aca="false">IF(F187="","",CHOOSE(WEEKDAY(F187,2),"Mo","Tu","We","Th","Fr","Sa","Su"))</f>
        <v/>
      </c>
      <c r="I187" s="2" t="str">
        <f aca="false">IF(F187="","",MONTH(F187))</f>
        <v/>
      </c>
      <c r="J187" s="2" t="str">
        <f aca="false">IF(F187="","",TEXT(F187,"mmm"))</f>
        <v/>
      </c>
      <c r="K187" s="2" t="str">
        <f aca="false">IF(F187="","",DAY(F187))</f>
        <v/>
      </c>
      <c r="L187" s="46" t="str">
        <f aca="false">IF(F186="","",MIN(IF(MID($B$3,WEEKDAY(F186+1,2),1)="C",1,99),IF(MID($B$3,WEEKDAY(F186+2,2),1)="C",2,99),IF(MID($B$3,WEEKDAY(F186+3,2),1)="C",3,99),IF(MID($B$3,WEEKDAY(F186+4,2),1)="C",4,99),IF(MID($B$3,WEEKDAY(F186+5,2),1)="C",5,99),IF(MID($B$3,WEEKDAY(F186+6,2),1)="C",6,99),IF(MID($B$3,WEEKDAY(F186+7,2),1)="C",7,99)))</f>
        <v/>
      </c>
    </row>
    <row r="188" customFormat="false" ht="13.8" hidden="false" customHeight="false" outlineLevel="0" collapsed="false">
      <c r="C188" s="2" t="str">
        <f aca="false">IF(F188="","",IF(ROW()=2,INT((F188-$B$1)/7)+1,IF(INT((F188-$B$1)/7)&lt;&gt;INT((F187-$B$1)/7),INT((F188-$B$1)/7)+1,"")))</f>
        <v/>
      </c>
      <c r="D188" s="2" t="str">
        <f aca="false">IF(C188="","","W"&amp;TEXT(C188,"00"))</f>
        <v/>
      </c>
      <c r="E188" s="2" t="n">
        <f aca="false">E187+1</f>
        <v>187</v>
      </c>
      <c r="F188" s="28" t="str">
        <f aca="false">IF(L188="","",IF(F187+L188&lt;=$B$2,F187+L188,""))</f>
        <v/>
      </c>
      <c r="G188" s="1" t="str">
        <f aca="false">IF(F188="","",TEXT(F188,"ddd"))</f>
        <v/>
      </c>
      <c r="H188" s="2" t="str">
        <f aca="false">IF(F188="","",CHOOSE(WEEKDAY(F188,2),"Mo","Tu","We","Th","Fr","Sa","Su"))</f>
        <v/>
      </c>
      <c r="I188" s="2" t="str">
        <f aca="false">IF(F188="","",MONTH(F188))</f>
        <v/>
      </c>
      <c r="J188" s="2" t="str">
        <f aca="false">IF(F188="","",TEXT(F188,"mmm"))</f>
        <v/>
      </c>
      <c r="K188" s="2" t="str">
        <f aca="false">IF(F188="","",DAY(F188))</f>
        <v/>
      </c>
      <c r="L188" s="46" t="str">
        <f aca="false">IF(F187="","",MIN(IF(MID($B$3,WEEKDAY(F187+1,2),1)="C",1,99),IF(MID($B$3,WEEKDAY(F187+2,2),1)="C",2,99),IF(MID($B$3,WEEKDAY(F187+3,2),1)="C",3,99),IF(MID($B$3,WEEKDAY(F187+4,2),1)="C",4,99),IF(MID($B$3,WEEKDAY(F187+5,2),1)="C",5,99),IF(MID($B$3,WEEKDAY(F187+6,2),1)="C",6,99),IF(MID($B$3,WEEKDAY(F187+7,2),1)="C",7,99)))</f>
        <v/>
      </c>
    </row>
    <row r="189" customFormat="false" ht="13.8" hidden="false" customHeight="false" outlineLevel="0" collapsed="false">
      <c r="C189" s="2" t="str">
        <f aca="false">IF(F189="","",IF(ROW()=2,INT((F189-$B$1)/7)+1,IF(INT((F189-$B$1)/7)&lt;&gt;INT((F188-$B$1)/7),INT((F189-$B$1)/7)+1,"")))</f>
        <v/>
      </c>
      <c r="D189" s="2" t="str">
        <f aca="false">IF(C189="","","W"&amp;TEXT(C189,"00"))</f>
        <v/>
      </c>
      <c r="E189" s="2" t="n">
        <f aca="false">E188+1</f>
        <v>188</v>
      </c>
      <c r="F189" s="28" t="str">
        <f aca="false">IF(L189="","",IF(F188+L189&lt;=$B$2,F188+L189,""))</f>
        <v/>
      </c>
      <c r="G189" s="1" t="str">
        <f aca="false">IF(F189="","",TEXT(F189,"ddd"))</f>
        <v/>
      </c>
      <c r="H189" s="2" t="str">
        <f aca="false">IF(F189="","",CHOOSE(WEEKDAY(F189,2),"Mo","Tu","We","Th","Fr","Sa","Su"))</f>
        <v/>
      </c>
      <c r="I189" s="2" t="str">
        <f aca="false">IF(F189="","",MONTH(F189))</f>
        <v/>
      </c>
      <c r="J189" s="2" t="str">
        <f aca="false">IF(F189="","",TEXT(F189,"mmm"))</f>
        <v/>
      </c>
      <c r="K189" s="2" t="str">
        <f aca="false">IF(F189="","",DAY(F189))</f>
        <v/>
      </c>
      <c r="L189" s="46" t="str">
        <f aca="false">IF(F188="","",MIN(IF(MID($B$3,WEEKDAY(F188+1,2),1)="C",1,99),IF(MID($B$3,WEEKDAY(F188+2,2),1)="C",2,99),IF(MID($B$3,WEEKDAY(F188+3,2),1)="C",3,99),IF(MID($B$3,WEEKDAY(F188+4,2),1)="C",4,99),IF(MID($B$3,WEEKDAY(F188+5,2),1)="C",5,99),IF(MID($B$3,WEEKDAY(F188+6,2),1)="C",6,99),IF(MID($B$3,WEEKDAY(F188+7,2),1)="C",7,99)))</f>
        <v/>
      </c>
    </row>
    <row r="190" customFormat="false" ht="13.8" hidden="false" customHeight="false" outlineLevel="0" collapsed="false">
      <c r="C190" s="2" t="str">
        <f aca="false">IF(F190="","",IF(ROW()=2,INT((F190-$B$1)/7)+1,IF(INT((F190-$B$1)/7)&lt;&gt;INT((F189-$B$1)/7),INT((F190-$B$1)/7)+1,"")))</f>
        <v/>
      </c>
      <c r="D190" s="2" t="str">
        <f aca="false">IF(C190="","","W"&amp;TEXT(C190,"00"))</f>
        <v/>
      </c>
      <c r="E190" s="2" t="n">
        <f aca="false">E189+1</f>
        <v>189</v>
      </c>
      <c r="F190" s="28" t="str">
        <f aca="false">IF(L190="","",IF(F189+L190&lt;=$B$2,F189+L190,""))</f>
        <v/>
      </c>
      <c r="G190" s="1" t="str">
        <f aca="false">IF(F190="","",TEXT(F190,"ddd"))</f>
        <v/>
      </c>
      <c r="H190" s="2" t="str">
        <f aca="false">IF(F190="","",CHOOSE(WEEKDAY(F190,2),"Mo","Tu","We","Th","Fr","Sa","Su"))</f>
        <v/>
      </c>
      <c r="I190" s="2" t="str">
        <f aca="false">IF(F190="","",MONTH(F190))</f>
        <v/>
      </c>
      <c r="J190" s="2" t="str">
        <f aca="false">IF(F190="","",TEXT(F190,"mmm"))</f>
        <v/>
      </c>
      <c r="K190" s="2" t="str">
        <f aca="false">IF(F190="","",DAY(F190))</f>
        <v/>
      </c>
      <c r="L190" s="46" t="str">
        <f aca="false">IF(F189="","",MIN(IF(MID($B$3,WEEKDAY(F189+1,2),1)="C",1,99),IF(MID($B$3,WEEKDAY(F189+2,2),1)="C",2,99),IF(MID($B$3,WEEKDAY(F189+3,2),1)="C",3,99),IF(MID($B$3,WEEKDAY(F189+4,2),1)="C",4,99),IF(MID($B$3,WEEKDAY(F189+5,2),1)="C",5,99),IF(MID($B$3,WEEKDAY(F189+6,2),1)="C",6,99),IF(MID($B$3,WEEKDAY(F189+7,2),1)="C",7,99)))</f>
        <v/>
      </c>
    </row>
    <row r="191" customFormat="false" ht="13.8" hidden="false" customHeight="false" outlineLevel="0" collapsed="false">
      <c r="C191" s="2" t="str">
        <f aca="false">IF(F191="","",IF(ROW()=2,INT((F191-$B$1)/7)+1,IF(INT((F191-$B$1)/7)&lt;&gt;INT((F190-$B$1)/7),INT((F191-$B$1)/7)+1,"")))</f>
        <v/>
      </c>
      <c r="D191" s="2" t="str">
        <f aca="false">IF(C191="","","W"&amp;TEXT(C191,"00"))</f>
        <v/>
      </c>
      <c r="E191" s="2" t="n">
        <f aca="false">E190+1</f>
        <v>190</v>
      </c>
      <c r="F191" s="28" t="str">
        <f aca="false">IF(L191="","",IF(F190+L191&lt;=$B$2,F190+L191,""))</f>
        <v/>
      </c>
      <c r="G191" s="1" t="str">
        <f aca="false">IF(F191="","",TEXT(F191,"ddd"))</f>
        <v/>
      </c>
      <c r="H191" s="2" t="str">
        <f aca="false">IF(F191="","",CHOOSE(WEEKDAY(F191,2),"Mo","Tu","We","Th","Fr","Sa","Su"))</f>
        <v/>
      </c>
      <c r="I191" s="2" t="str">
        <f aca="false">IF(F191="","",MONTH(F191))</f>
        <v/>
      </c>
      <c r="J191" s="2" t="str">
        <f aca="false">IF(F191="","",TEXT(F191,"mmm"))</f>
        <v/>
      </c>
      <c r="K191" s="2" t="str">
        <f aca="false">IF(F191="","",DAY(F191))</f>
        <v/>
      </c>
      <c r="L191" s="46" t="str">
        <f aca="false">IF(F190="","",MIN(IF(MID($B$3,WEEKDAY(F190+1,2),1)="C",1,99),IF(MID($B$3,WEEKDAY(F190+2,2),1)="C",2,99),IF(MID($B$3,WEEKDAY(F190+3,2),1)="C",3,99),IF(MID($B$3,WEEKDAY(F190+4,2),1)="C",4,99),IF(MID($B$3,WEEKDAY(F190+5,2),1)="C",5,99),IF(MID($B$3,WEEKDAY(F190+6,2),1)="C",6,99),IF(MID($B$3,WEEKDAY(F190+7,2),1)="C",7,99)))</f>
        <v/>
      </c>
    </row>
    <row r="192" customFormat="false" ht="13.8" hidden="false" customHeight="false" outlineLevel="0" collapsed="false">
      <c r="C192" s="2" t="str">
        <f aca="false">IF(F192="","",IF(ROW()=2,INT((F192-$B$1)/7)+1,IF(INT((F192-$B$1)/7)&lt;&gt;INT((F191-$B$1)/7),INT((F192-$B$1)/7)+1,"")))</f>
        <v/>
      </c>
      <c r="D192" s="2" t="str">
        <f aca="false">IF(C192="","","W"&amp;TEXT(C192,"00"))</f>
        <v/>
      </c>
      <c r="E192" s="2" t="n">
        <f aca="false">E191+1</f>
        <v>191</v>
      </c>
      <c r="F192" s="28" t="str">
        <f aca="false">IF(L192="","",IF(F191+L192&lt;=$B$2,F191+L192,""))</f>
        <v/>
      </c>
      <c r="G192" s="1" t="str">
        <f aca="false">IF(F192="","",TEXT(F192,"ddd"))</f>
        <v/>
      </c>
      <c r="H192" s="2" t="str">
        <f aca="false">IF(F192="","",CHOOSE(WEEKDAY(F192,2),"Mo","Tu","We","Th","Fr","Sa","Su"))</f>
        <v/>
      </c>
      <c r="I192" s="2" t="str">
        <f aca="false">IF(F192="","",MONTH(F192))</f>
        <v/>
      </c>
      <c r="J192" s="2" t="str">
        <f aca="false">IF(F192="","",TEXT(F192,"mmm"))</f>
        <v/>
      </c>
      <c r="K192" s="2" t="str">
        <f aca="false">IF(F192="","",DAY(F192))</f>
        <v/>
      </c>
      <c r="L192" s="46" t="str">
        <f aca="false">IF(F191="","",MIN(IF(MID($B$3,WEEKDAY(F191+1,2),1)="C",1,99),IF(MID($B$3,WEEKDAY(F191+2,2),1)="C",2,99),IF(MID($B$3,WEEKDAY(F191+3,2),1)="C",3,99),IF(MID($B$3,WEEKDAY(F191+4,2),1)="C",4,99),IF(MID($B$3,WEEKDAY(F191+5,2),1)="C",5,99),IF(MID($B$3,WEEKDAY(F191+6,2),1)="C",6,99),IF(MID($B$3,WEEKDAY(F191+7,2),1)="C",7,99)))</f>
        <v/>
      </c>
    </row>
    <row r="193" customFormat="false" ht="13.8" hidden="false" customHeight="false" outlineLevel="0" collapsed="false">
      <c r="C193" s="2" t="str">
        <f aca="false">IF(F193="","",IF(ROW()=2,INT((F193-$B$1)/7)+1,IF(INT((F193-$B$1)/7)&lt;&gt;INT((F192-$B$1)/7),INT((F193-$B$1)/7)+1,"")))</f>
        <v/>
      </c>
      <c r="D193" s="2" t="str">
        <f aca="false">IF(C193="","","W"&amp;TEXT(C193,"00"))</f>
        <v/>
      </c>
      <c r="E193" s="2" t="n">
        <f aca="false">E192+1</f>
        <v>192</v>
      </c>
      <c r="F193" s="28" t="str">
        <f aca="false">IF(L193="","",IF(F192+L193&lt;=$B$2,F192+L193,""))</f>
        <v/>
      </c>
      <c r="G193" s="1" t="str">
        <f aca="false">IF(F193="","",TEXT(F193,"ddd"))</f>
        <v/>
      </c>
      <c r="H193" s="2" t="str">
        <f aca="false">IF(F193="","",CHOOSE(WEEKDAY(F193,2),"Mo","Tu","We","Th","Fr","Sa","Su"))</f>
        <v/>
      </c>
      <c r="I193" s="2" t="str">
        <f aca="false">IF(F193="","",MONTH(F193))</f>
        <v/>
      </c>
      <c r="J193" s="2" t="str">
        <f aca="false">IF(F193="","",TEXT(F193,"mmm"))</f>
        <v/>
      </c>
      <c r="K193" s="2" t="str">
        <f aca="false">IF(F193="","",DAY(F193))</f>
        <v/>
      </c>
      <c r="L193" s="46" t="str">
        <f aca="false">IF(F192="","",MIN(IF(MID($B$3,WEEKDAY(F192+1,2),1)="C",1,99),IF(MID($B$3,WEEKDAY(F192+2,2),1)="C",2,99),IF(MID($B$3,WEEKDAY(F192+3,2),1)="C",3,99),IF(MID($B$3,WEEKDAY(F192+4,2),1)="C",4,99),IF(MID($B$3,WEEKDAY(F192+5,2),1)="C",5,99),IF(MID($B$3,WEEKDAY(F192+6,2),1)="C",6,99),IF(MID($B$3,WEEKDAY(F192+7,2),1)="C",7,99)))</f>
        <v/>
      </c>
    </row>
    <row r="194" customFormat="false" ht="13.8" hidden="false" customHeight="false" outlineLevel="0" collapsed="false">
      <c r="C194" s="2" t="str">
        <f aca="false">IF(F194="","",IF(ROW()=2,INT((F194-$B$1)/7)+1,IF(INT((F194-$B$1)/7)&lt;&gt;INT((F193-$B$1)/7),INT((F194-$B$1)/7)+1,"")))</f>
        <v/>
      </c>
      <c r="D194" s="2" t="str">
        <f aca="false">IF(C194="","","W"&amp;TEXT(C194,"00"))</f>
        <v/>
      </c>
      <c r="E194" s="2" t="n">
        <f aca="false">E193+1</f>
        <v>193</v>
      </c>
      <c r="F194" s="28" t="str">
        <f aca="false">IF(L194="","",IF(F193+L194&lt;=$B$2,F193+L194,""))</f>
        <v/>
      </c>
      <c r="G194" s="1" t="str">
        <f aca="false">IF(F194="","",TEXT(F194,"ddd"))</f>
        <v/>
      </c>
      <c r="H194" s="2" t="str">
        <f aca="false">IF(F194="","",CHOOSE(WEEKDAY(F194,2),"Mo","Tu","We","Th","Fr","Sa","Su"))</f>
        <v/>
      </c>
      <c r="I194" s="2" t="str">
        <f aca="false">IF(F194="","",MONTH(F194))</f>
        <v/>
      </c>
      <c r="J194" s="2" t="str">
        <f aca="false">IF(F194="","",TEXT(F194,"mmm"))</f>
        <v/>
      </c>
      <c r="K194" s="2" t="str">
        <f aca="false">IF(F194="","",DAY(F194))</f>
        <v/>
      </c>
      <c r="L194" s="46" t="str">
        <f aca="false">IF(F193="","",MIN(IF(MID($B$3,WEEKDAY(F193+1,2),1)="C",1,99),IF(MID($B$3,WEEKDAY(F193+2,2),1)="C",2,99),IF(MID($B$3,WEEKDAY(F193+3,2),1)="C",3,99),IF(MID($B$3,WEEKDAY(F193+4,2),1)="C",4,99),IF(MID($B$3,WEEKDAY(F193+5,2),1)="C",5,99),IF(MID($B$3,WEEKDAY(F193+6,2),1)="C",6,99),IF(MID($B$3,WEEKDAY(F193+7,2),1)="C",7,99)))</f>
        <v/>
      </c>
    </row>
    <row r="195" customFormat="false" ht="13.8" hidden="false" customHeight="false" outlineLevel="0" collapsed="false">
      <c r="C195" s="2" t="str">
        <f aca="false">IF(F195="","",IF(ROW()=2,INT((F195-$B$1)/7)+1,IF(INT((F195-$B$1)/7)&lt;&gt;INT((F194-$B$1)/7),INT((F195-$B$1)/7)+1,"")))</f>
        <v/>
      </c>
      <c r="D195" s="2" t="str">
        <f aca="false">IF(C195="","","W"&amp;TEXT(C195,"00"))</f>
        <v/>
      </c>
      <c r="E195" s="2" t="n">
        <f aca="false">E194+1</f>
        <v>194</v>
      </c>
      <c r="F195" s="28" t="str">
        <f aca="false">IF(L195="","",IF(F194+L195&lt;=$B$2,F194+L195,""))</f>
        <v/>
      </c>
      <c r="G195" s="1" t="str">
        <f aca="false">IF(F195="","",TEXT(F195,"ddd"))</f>
        <v/>
      </c>
      <c r="H195" s="2" t="str">
        <f aca="false">IF(F195="","",CHOOSE(WEEKDAY(F195,2),"Mo","Tu","We","Th","Fr","Sa","Su"))</f>
        <v/>
      </c>
      <c r="I195" s="2" t="str">
        <f aca="false">IF(F195="","",MONTH(F195))</f>
        <v/>
      </c>
      <c r="J195" s="2" t="str">
        <f aca="false">IF(F195="","",TEXT(F195,"mmm"))</f>
        <v/>
      </c>
      <c r="K195" s="2" t="str">
        <f aca="false">IF(F195="","",DAY(F195))</f>
        <v/>
      </c>
      <c r="L195" s="46" t="str">
        <f aca="false">IF(F194="","",MIN(IF(MID($B$3,WEEKDAY(F194+1,2),1)="C",1,99),IF(MID($B$3,WEEKDAY(F194+2,2),1)="C",2,99),IF(MID($B$3,WEEKDAY(F194+3,2),1)="C",3,99),IF(MID($B$3,WEEKDAY(F194+4,2),1)="C",4,99),IF(MID($B$3,WEEKDAY(F194+5,2),1)="C",5,99),IF(MID($B$3,WEEKDAY(F194+6,2),1)="C",6,99),IF(MID($B$3,WEEKDAY(F194+7,2),1)="C",7,99)))</f>
        <v/>
      </c>
    </row>
    <row r="196" customFormat="false" ht="13.8" hidden="false" customHeight="false" outlineLevel="0" collapsed="false">
      <c r="C196" s="2" t="str">
        <f aca="false">IF(F196="","",IF(ROW()=2,INT((F196-$B$1)/7)+1,IF(INT((F196-$B$1)/7)&lt;&gt;INT((F195-$B$1)/7),INT((F196-$B$1)/7)+1,"")))</f>
        <v/>
      </c>
      <c r="D196" s="2" t="str">
        <f aca="false">IF(C196="","","W"&amp;TEXT(C196,"00"))</f>
        <v/>
      </c>
      <c r="E196" s="2" t="n">
        <f aca="false">E195+1</f>
        <v>195</v>
      </c>
      <c r="F196" s="28" t="str">
        <f aca="false">IF(L196="","",IF(F195+L196&lt;=$B$2,F195+L196,""))</f>
        <v/>
      </c>
      <c r="G196" s="1" t="str">
        <f aca="false">IF(F196="","",TEXT(F196,"ddd"))</f>
        <v/>
      </c>
      <c r="H196" s="2" t="str">
        <f aca="false">IF(F196="","",CHOOSE(WEEKDAY(F196,2),"Mo","Tu","We","Th","Fr","Sa","Su"))</f>
        <v/>
      </c>
      <c r="I196" s="2" t="str">
        <f aca="false">IF(F196="","",MONTH(F196))</f>
        <v/>
      </c>
      <c r="J196" s="2" t="str">
        <f aca="false">IF(F196="","",TEXT(F196,"mmm"))</f>
        <v/>
      </c>
      <c r="K196" s="2" t="str">
        <f aca="false">IF(F196="","",DAY(F196))</f>
        <v/>
      </c>
      <c r="L196" s="46" t="str">
        <f aca="false">IF(F195="","",MIN(IF(MID($B$3,WEEKDAY(F195+1,2),1)="C",1,99),IF(MID($B$3,WEEKDAY(F195+2,2),1)="C",2,99),IF(MID($B$3,WEEKDAY(F195+3,2),1)="C",3,99),IF(MID($B$3,WEEKDAY(F195+4,2),1)="C",4,99),IF(MID($B$3,WEEKDAY(F195+5,2),1)="C",5,99),IF(MID($B$3,WEEKDAY(F195+6,2),1)="C",6,99),IF(MID($B$3,WEEKDAY(F195+7,2),1)="C",7,99)))</f>
        <v/>
      </c>
    </row>
    <row r="197" customFormat="false" ht="13.8" hidden="false" customHeight="false" outlineLevel="0" collapsed="false">
      <c r="C197" s="2" t="str">
        <f aca="false">IF(F197="","",IF(ROW()=2,INT((F197-$B$1)/7)+1,IF(INT((F197-$B$1)/7)&lt;&gt;INT((F196-$B$1)/7),INT((F197-$B$1)/7)+1,"")))</f>
        <v/>
      </c>
      <c r="D197" s="2" t="str">
        <f aca="false">IF(C197="","","W"&amp;TEXT(C197,"00"))</f>
        <v/>
      </c>
      <c r="E197" s="2" t="n">
        <f aca="false">E196+1</f>
        <v>196</v>
      </c>
      <c r="F197" s="28" t="str">
        <f aca="false">IF(L197="","",IF(F196+L197&lt;=$B$2,F196+L197,""))</f>
        <v/>
      </c>
      <c r="G197" s="1" t="str">
        <f aca="false">IF(F197="","",TEXT(F197,"ddd"))</f>
        <v/>
      </c>
      <c r="H197" s="2" t="str">
        <f aca="false">IF(F197="","",CHOOSE(WEEKDAY(F197,2),"Mo","Tu","We","Th","Fr","Sa","Su"))</f>
        <v/>
      </c>
      <c r="I197" s="2" t="str">
        <f aca="false">IF(F197="","",MONTH(F197))</f>
        <v/>
      </c>
      <c r="J197" s="2" t="str">
        <f aca="false">IF(F197="","",TEXT(F197,"mmm"))</f>
        <v/>
      </c>
      <c r="K197" s="2" t="str">
        <f aca="false">IF(F197="","",DAY(F197))</f>
        <v/>
      </c>
      <c r="L197" s="46" t="str">
        <f aca="false">IF(F196="","",MIN(IF(MID($B$3,WEEKDAY(F196+1,2),1)="C",1,99),IF(MID($B$3,WEEKDAY(F196+2,2),1)="C",2,99),IF(MID($B$3,WEEKDAY(F196+3,2),1)="C",3,99),IF(MID($B$3,WEEKDAY(F196+4,2),1)="C",4,99),IF(MID($B$3,WEEKDAY(F196+5,2),1)="C",5,99),IF(MID($B$3,WEEKDAY(F196+6,2),1)="C",6,99),IF(MID($B$3,WEEKDAY(F196+7,2),1)="C",7,99)))</f>
        <v/>
      </c>
    </row>
    <row r="198" customFormat="false" ht="13.8" hidden="false" customHeight="false" outlineLevel="0" collapsed="false">
      <c r="C198" s="2" t="str">
        <f aca="false">IF(F198="","",IF(ROW()=2,INT((F198-$B$1)/7)+1,IF(INT((F198-$B$1)/7)&lt;&gt;INT((F197-$B$1)/7),INT((F198-$B$1)/7)+1,"")))</f>
        <v/>
      </c>
      <c r="D198" s="2" t="str">
        <f aca="false">IF(C198="","","W"&amp;TEXT(C198,"00"))</f>
        <v/>
      </c>
      <c r="E198" s="2" t="n">
        <f aca="false">E197+1</f>
        <v>197</v>
      </c>
      <c r="F198" s="28" t="str">
        <f aca="false">IF(L198="","",IF(F197+L198&lt;=$B$2,F197+L198,""))</f>
        <v/>
      </c>
      <c r="G198" s="1" t="str">
        <f aca="false">IF(F198="","",TEXT(F198,"ddd"))</f>
        <v/>
      </c>
      <c r="H198" s="2" t="str">
        <f aca="false">IF(F198="","",CHOOSE(WEEKDAY(F198,2),"Mo","Tu","We","Th","Fr","Sa","Su"))</f>
        <v/>
      </c>
      <c r="I198" s="2" t="str">
        <f aca="false">IF(F198="","",MONTH(F198))</f>
        <v/>
      </c>
      <c r="J198" s="2" t="str">
        <f aca="false">IF(F198="","",TEXT(F198,"mmm"))</f>
        <v/>
      </c>
      <c r="K198" s="2" t="str">
        <f aca="false">IF(F198="","",DAY(F198))</f>
        <v/>
      </c>
      <c r="L198" s="46" t="str">
        <f aca="false">IF(F197="","",MIN(IF(MID($B$3,WEEKDAY(F197+1,2),1)="C",1,99),IF(MID($B$3,WEEKDAY(F197+2,2),1)="C",2,99),IF(MID($B$3,WEEKDAY(F197+3,2),1)="C",3,99),IF(MID($B$3,WEEKDAY(F197+4,2),1)="C",4,99),IF(MID($B$3,WEEKDAY(F197+5,2),1)="C",5,99),IF(MID($B$3,WEEKDAY(F197+6,2),1)="C",6,99),IF(MID($B$3,WEEKDAY(F197+7,2),1)="C",7,99)))</f>
        <v/>
      </c>
    </row>
    <row r="199" customFormat="false" ht="13.8" hidden="false" customHeight="false" outlineLevel="0" collapsed="false">
      <c r="C199" s="2" t="str">
        <f aca="false">IF(F199="","",IF(ROW()=2,INT((F199-$B$1)/7)+1,IF(INT((F199-$B$1)/7)&lt;&gt;INT((F198-$B$1)/7),INT((F199-$B$1)/7)+1,"")))</f>
        <v/>
      </c>
      <c r="D199" s="2" t="str">
        <f aca="false">IF(C199="","","W"&amp;TEXT(C199,"00"))</f>
        <v/>
      </c>
      <c r="E199" s="2" t="n">
        <f aca="false">E198+1</f>
        <v>198</v>
      </c>
      <c r="F199" s="28" t="str">
        <f aca="false">IF(L199="","",IF(F198+L199&lt;=$B$2,F198+L199,""))</f>
        <v/>
      </c>
      <c r="G199" s="1" t="str">
        <f aca="false">IF(F199="","",TEXT(F199,"ddd"))</f>
        <v/>
      </c>
      <c r="H199" s="2" t="str">
        <f aca="false">IF(F199="","",CHOOSE(WEEKDAY(F199,2),"Mo","Tu","We","Th","Fr","Sa","Su"))</f>
        <v/>
      </c>
      <c r="I199" s="2" t="str">
        <f aca="false">IF(F199="","",MONTH(F199))</f>
        <v/>
      </c>
      <c r="J199" s="2" t="str">
        <f aca="false">IF(F199="","",TEXT(F199,"mmm"))</f>
        <v/>
      </c>
      <c r="K199" s="2" t="str">
        <f aca="false">IF(F199="","",DAY(F199))</f>
        <v/>
      </c>
      <c r="L199" s="46" t="str">
        <f aca="false">IF(F198="","",MIN(IF(MID($B$3,WEEKDAY(F198+1,2),1)="C",1,99),IF(MID($B$3,WEEKDAY(F198+2,2),1)="C",2,99),IF(MID($B$3,WEEKDAY(F198+3,2),1)="C",3,99),IF(MID($B$3,WEEKDAY(F198+4,2),1)="C",4,99),IF(MID($B$3,WEEKDAY(F198+5,2),1)="C",5,99),IF(MID($B$3,WEEKDAY(F198+6,2),1)="C",6,99),IF(MID($B$3,WEEKDAY(F198+7,2),1)="C",7,99)))</f>
        <v/>
      </c>
    </row>
    <row r="200" customFormat="false" ht="13.8" hidden="false" customHeight="false" outlineLevel="0" collapsed="false">
      <c r="C200" s="2" t="str">
        <f aca="false">IF(F200="","",IF(ROW()=2,INT((F200-$B$1)/7)+1,IF(INT((F200-$B$1)/7)&lt;&gt;INT((F199-$B$1)/7),INT((F200-$B$1)/7)+1,"")))</f>
        <v/>
      </c>
      <c r="D200" s="2" t="str">
        <f aca="false">IF(C200="","","W"&amp;TEXT(C200,"00"))</f>
        <v/>
      </c>
      <c r="E200" s="2" t="n">
        <f aca="false">E199+1</f>
        <v>199</v>
      </c>
      <c r="F200" s="28" t="str">
        <f aca="false">IF(L200="","",IF(F199+L200&lt;=$B$2,F199+L200,""))</f>
        <v/>
      </c>
      <c r="G200" s="1" t="str">
        <f aca="false">IF(F200="","",TEXT(F200,"ddd"))</f>
        <v/>
      </c>
      <c r="H200" s="2" t="str">
        <f aca="false">IF(F200="","",CHOOSE(WEEKDAY(F200,2),"Mo","Tu","We","Th","Fr","Sa","Su"))</f>
        <v/>
      </c>
      <c r="I200" s="2" t="str">
        <f aca="false">IF(F200="","",MONTH(F200))</f>
        <v/>
      </c>
      <c r="J200" s="2" t="str">
        <f aca="false">IF(F200="","",TEXT(F200,"mmm"))</f>
        <v/>
      </c>
      <c r="K200" s="2" t="str">
        <f aca="false">IF(F200="","",DAY(F200))</f>
        <v/>
      </c>
      <c r="L200" s="46" t="str">
        <f aca="false">IF(F199="","",MIN(IF(MID($B$3,WEEKDAY(F199+1,2),1)="C",1,99),IF(MID($B$3,WEEKDAY(F199+2,2),1)="C",2,99),IF(MID($B$3,WEEKDAY(F199+3,2),1)="C",3,99),IF(MID($B$3,WEEKDAY(F199+4,2),1)="C",4,99),IF(MID($B$3,WEEKDAY(F199+5,2),1)="C",5,99),IF(MID($B$3,WEEKDAY(F199+6,2),1)="C",6,99),IF(MID($B$3,WEEKDAY(F199+7,2),1)="C",7,99)))</f>
        <v/>
      </c>
    </row>
    <row r="201" customFormat="false" ht="13.8" hidden="false" customHeight="false" outlineLevel="0" collapsed="false">
      <c r="C201" s="2" t="str">
        <f aca="false">IF(F201="","",IF(ROW()=2,INT((F201-$B$1)/7)+1,IF(INT((F201-$B$1)/7)&lt;&gt;INT((F200-$B$1)/7),INT((F201-$B$1)/7)+1,"")))</f>
        <v/>
      </c>
      <c r="D201" s="2" t="str">
        <f aca="false">IF(C201="","","W"&amp;TEXT(C201,"00"))</f>
        <v/>
      </c>
      <c r="E201" s="2" t="n">
        <f aca="false">E200+1</f>
        <v>200</v>
      </c>
      <c r="F201" s="28" t="str">
        <f aca="false">IF(L201="","",IF(F200+L201&lt;=$B$2,F200+L201,""))</f>
        <v/>
      </c>
      <c r="G201" s="1" t="str">
        <f aca="false">IF(F201="","",TEXT(F201,"ddd"))</f>
        <v/>
      </c>
      <c r="H201" s="2" t="str">
        <f aca="false">IF(F201="","",CHOOSE(WEEKDAY(F201,2),"Mo","Tu","We","Th","Fr","Sa","Su"))</f>
        <v/>
      </c>
      <c r="I201" s="2" t="str">
        <f aca="false">IF(F201="","",MONTH(F201))</f>
        <v/>
      </c>
      <c r="J201" s="2" t="str">
        <f aca="false">IF(F201="","",TEXT(F201,"mmm"))</f>
        <v/>
      </c>
      <c r="K201" s="2" t="str">
        <f aca="false">IF(F201="","",DAY(F201))</f>
        <v/>
      </c>
      <c r="L201" s="46" t="str">
        <f aca="false">IF(F200="","",MIN(IF(MID($B$3,WEEKDAY(F200+1,2),1)="C",1,99),IF(MID($B$3,WEEKDAY(F200+2,2),1)="C",2,99),IF(MID($B$3,WEEKDAY(F200+3,2),1)="C",3,99),IF(MID($B$3,WEEKDAY(F200+4,2),1)="C",4,99),IF(MID($B$3,WEEKDAY(F200+5,2),1)="C",5,99),IF(MID($B$3,WEEKDAY(F200+6,2),1)="C",6,99),IF(MID($B$3,WEEKDAY(F200+7,2),1)="C",7,99)))</f>
        <v/>
      </c>
    </row>
    <row r="202" customFormat="false" ht="13.8" hidden="false" customHeight="false" outlineLevel="0" collapsed="false">
      <c r="C202" s="2" t="str">
        <f aca="false">IF(F202="","",IF(ROW()=2,INT((F202-$B$1)/7)+1,IF(INT((F202-$B$1)/7)&lt;&gt;INT((F201-$B$1)/7),INT((F202-$B$1)/7)+1,"")))</f>
        <v/>
      </c>
      <c r="D202" s="2" t="str">
        <f aca="false">IF(C202="","","W"&amp;TEXT(C202,"00"))</f>
        <v/>
      </c>
      <c r="E202" s="2" t="n">
        <f aca="false">E201+1</f>
        <v>201</v>
      </c>
      <c r="F202" s="28" t="str">
        <f aca="false">IF(L202="","",IF(F201+L202&lt;=$B$2,F201+L202,""))</f>
        <v/>
      </c>
      <c r="G202" s="1" t="str">
        <f aca="false">IF(F202="","",TEXT(F202,"ddd"))</f>
        <v/>
      </c>
      <c r="H202" s="2" t="str">
        <f aca="false">IF(F202="","",CHOOSE(WEEKDAY(F202,2),"Mo","Tu","We","Th","Fr","Sa","Su"))</f>
        <v/>
      </c>
      <c r="I202" s="2" t="str">
        <f aca="false">IF(F202="","",MONTH(F202))</f>
        <v/>
      </c>
      <c r="J202" s="2" t="str">
        <f aca="false">IF(F202="","",TEXT(F202,"mmm"))</f>
        <v/>
      </c>
      <c r="K202" s="2" t="str">
        <f aca="false">IF(F202="","",DAY(F202))</f>
        <v/>
      </c>
      <c r="L202" s="46" t="str">
        <f aca="false">IF(F201="","",MIN(IF(MID($B$3,WEEKDAY(F201+1,2),1)="C",1,99),IF(MID($B$3,WEEKDAY(F201+2,2),1)="C",2,99),IF(MID($B$3,WEEKDAY(F201+3,2),1)="C",3,99),IF(MID($B$3,WEEKDAY(F201+4,2),1)="C",4,99),IF(MID($B$3,WEEKDAY(F201+5,2),1)="C",5,99),IF(MID($B$3,WEEKDAY(F201+6,2),1)="C",6,99),IF(MID($B$3,WEEKDAY(F201+7,2),1)="C",7,99)))</f>
        <v/>
      </c>
    </row>
    <row r="203" customFormat="false" ht="13.8" hidden="false" customHeight="false" outlineLevel="0" collapsed="false">
      <c r="C203" s="2" t="str">
        <f aca="false">IF(F203="","",IF(ROW()=2,INT((F203-$B$1)/7)+1,IF(INT((F203-$B$1)/7)&lt;&gt;INT((F202-$B$1)/7),INT((F203-$B$1)/7)+1,"")))</f>
        <v/>
      </c>
      <c r="D203" s="2" t="str">
        <f aca="false">IF(C203="","","W"&amp;TEXT(C203,"00"))</f>
        <v/>
      </c>
      <c r="E203" s="2" t="n">
        <f aca="false">E202+1</f>
        <v>202</v>
      </c>
      <c r="F203" s="28" t="str">
        <f aca="false">IF(L203="","",IF(F202+L203&lt;=$B$2,F202+L203,""))</f>
        <v/>
      </c>
      <c r="G203" s="1" t="str">
        <f aca="false">IF(F203="","",TEXT(F203,"ddd"))</f>
        <v/>
      </c>
      <c r="H203" s="2" t="str">
        <f aca="false">IF(F203="","",CHOOSE(WEEKDAY(F203,2),"Mo","Tu","We","Th","Fr","Sa","Su"))</f>
        <v/>
      </c>
      <c r="I203" s="2" t="str">
        <f aca="false">IF(F203="","",MONTH(F203))</f>
        <v/>
      </c>
      <c r="J203" s="2" t="str">
        <f aca="false">IF(F203="","",TEXT(F203,"mmm"))</f>
        <v/>
      </c>
      <c r="K203" s="2" t="str">
        <f aca="false">IF(F203="","",DAY(F203))</f>
        <v/>
      </c>
      <c r="L203" s="46" t="str">
        <f aca="false">IF(F202="","",MIN(IF(MID($B$3,WEEKDAY(F202+1,2),1)="C",1,99),IF(MID($B$3,WEEKDAY(F202+2,2),1)="C",2,99),IF(MID($B$3,WEEKDAY(F202+3,2),1)="C",3,99),IF(MID($B$3,WEEKDAY(F202+4,2),1)="C",4,99),IF(MID($B$3,WEEKDAY(F202+5,2),1)="C",5,99),IF(MID($B$3,WEEKDAY(F202+6,2),1)="C",6,99),IF(MID($B$3,WEEKDAY(F202+7,2),1)="C",7,99)))</f>
        <v/>
      </c>
    </row>
    <row r="204" customFormat="false" ht="13.8" hidden="false" customHeight="false" outlineLevel="0" collapsed="false">
      <c r="C204" s="2" t="str">
        <f aca="false">IF(F204="","",IF(ROW()=2,INT((F204-$B$1)/7)+1,IF(INT((F204-$B$1)/7)&lt;&gt;INT((F203-$B$1)/7),INT((F204-$B$1)/7)+1,"")))</f>
        <v/>
      </c>
      <c r="D204" s="2" t="str">
        <f aca="false">IF(C204="","","W"&amp;TEXT(C204,"00"))</f>
        <v/>
      </c>
      <c r="E204" s="2" t="n">
        <f aca="false">E203+1</f>
        <v>203</v>
      </c>
      <c r="F204" s="28" t="str">
        <f aca="false">IF(L204="","",IF(F203+L204&lt;=$B$2,F203+L204,""))</f>
        <v/>
      </c>
      <c r="G204" s="1" t="str">
        <f aca="false">IF(F204="","",TEXT(F204,"ddd"))</f>
        <v/>
      </c>
      <c r="H204" s="2" t="str">
        <f aca="false">IF(F204="","",CHOOSE(WEEKDAY(F204,2),"Mo","Tu","We","Th","Fr","Sa","Su"))</f>
        <v/>
      </c>
      <c r="I204" s="2" t="str">
        <f aca="false">IF(F204="","",MONTH(F204))</f>
        <v/>
      </c>
      <c r="J204" s="2" t="str">
        <f aca="false">IF(F204="","",TEXT(F204,"mmm"))</f>
        <v/>
      </c>
      <c r="K204" s="2" t="str">
        <f aca="false">IF(F204="","",DAY(F204))</f>
        <v/>
      </c>
      <c r="L204" s="46" t="str">
        <f aca="false">IF(F203="","",MIN(IF(MID($B$3,WEEKDAY(F203+1,2),1)="C",1,99),IF(MID($B$3,WEEKDAY(F203+2,2),1)="C",2,99),IF(MID($B$3,WEEKDAY(F203+3,2),1)="C",3,99),IF(MID($B$3,WEEKDAY(F203+4,2),1)="C",4,99),IF(MID($B$3,WEEKDAY(F203+5,2),1)="C",5,99),IF(MID($B$3,WEEKDAY(F203+6,2),1)="C",6,99),IF(MID($B$3,WEEKDAY(F203+7,2),1)="C",7,99)))</f>
        <v/>
      </c>
    </row>
    <row r="205" customFormat="false" ht="13.8" hidden="false" customHeight="false" outlineLevel="0" collapsed="false">
      <c r="C205" s="2" t="str">
        <f aca="false">IF(F205="","",IF(ROW()=2,INT((F205-$B$1)/7)+1,IF(INT((F205-$B$1)/7)&lt;&gt;INT((F204-$B$1)/7),INT((F205-$B$1)/7)+1,"")))</f>
        <v/>
      </c>
      <c r="D205" s="2" t="str">
        <f aca="false">IF(C205="","","W"&amp;TEXT(C205,"00"))</f>
        <v/>
      </c>
      <c r="E205" s="2" t="n">
        <f aca="false">E204+1</f>
        <v>204</v>
      </c>
      <c r="F205" s="28" t="str">
        <f aca="false">IF(L205="","",IF(F204+L205&lt;=$B$2,F204+L205,""))</f>
        <v/>
      </c>
      <c r="G205" s="1" t="str">
        <f aca="false">IF(F205="","",TEXT(F205,"ddd"))</f>
        <v/>
      </c>
      <c r="H205" s="2" t="str">
        <f aca="false">IF(F205="","",CHOOSE(WEEKDAY(F205,2),"Mo","Tu","We","Th","Fr","Sa","Su"))</f>
        <v/>
      </c>
      <c r="I205" s="2" t="str">
        <f aca="false">IF(F205="","",MONTH(F205))</f>
        <v/>
      </c>
      <c r="J205" s="2" t="str">
        <f aca="false">IF(F205="","",TEXT(F205,"mmm"))</f>
        <v/>
      </c>
      <c r="K205" s="2" t="str">
        <f aca="false">IF(F205="","",DAY(F205))</f>
        <v/>
      </c>
      <c r="L205" s="46" t="str">
        <f aca="false">IF(F204="","",MIN(IF(MID($B$3,WEEKDAY(F204+1,2),1)="C",1,99),IF(MID($B$3,WEEKDAY(F204+2,2),1)="C",2,99),IF(MID($B$3,WEEKDAY(F204+3,2),1)="C",3,99),IF(MID($B$3,WEEKDAY(F204+4,2),1)="C",4,99),IF(MID($B$3,WEEKDAY(F204+5,2),1)="C",5,99),IF(MID($B$3,WEEKDAY(F204+6,2),1)="C",6,99),IF(MID($B$3,WEEKDAY(F204+7,2),1)="C",7,99)))</f>
        <v/>
      </c>
    </row>
    <row r="206" customFormat="false" ht="13.8" hidden="false" customHeight="false" outlineLevel="0" collapsed="false">
      <c r="C206" s="2" t="str">
        <f aca="false">IF(F206="","",IF(ROW()=2,INT((F206-$B$1)/7)+1,IF(INT((F206-$B$1)/7)&lt;&gt;INT((F205-$B$1)/7),INT((F206-$B$1)/7)+1,"")))</f>
        <v/>
      </c>
      <c r="D206" s="2" t="str">
        <f aca="false">IF(C206="","","W"&amp;TEXT(C206,"00"))</f>
        <v/>
      </c>
      <c r="E206" s="2" t="n">
        <f aca="false">E205+1</f>
        <v>205</v>
      </c>
      <c r="F206" s="28" t="str">
        <f aca="false">IF(L206="","",IF(F205+L206&lt;=$B$2,F205+L206,""))</f>
        <v/>
      </c>
      <c r="G206" s="1" t="str">
        <f aca="false">IF(F206="","",TEXT(F206,"ddd"))</f>
        <v/>
      </c>
      <c r="H206" s="2" t="str">
        <f aca="false">IF(F206="","",CHOOSE(WEEKDAY(F206,2),"Mo","Tu","We","Th","Fr","Sa","Su"))</f>
        <v/>
      </c>
      <c r="I206" s="2" t="str">
        <f aca="false">IF(F206="","",MONTH(F206))</f>
        <v/>
      </c>
      <c r="J206" s="2" t="str">
        <f aca="false">IF(F206="","",TEXT(F206,"mmm"))</f>
        <v/>
      </c>
      <c r="K206" s="2" t="str">
        <f aca="false">IF(F206="","",DAY(F206))</f>
        <v/>
      </c>
      <c r="L206" s="46" t="str">
        <f aca="false">IF(F205="","",MIN(IF(MID($B$3,WEEKDAY(F205+1,2),1)="C",1,99),IF(MID($B$3,WEEKDAY(F205+2,2),1)="C",2,99),IF(MID($B$3,WEEKDAY(F205+3,2),1)="C",3,99),IF(MID($B$3,WEEKDAY(F205+4,2),1)="C",4,99),IF(MID($B$3,WEEKDAY(F205+5,2),1)="C",5,99),IF(MID($B$3,WEEKDAY(F205+6,2),1)="C",6,99),IF(MID($B$3,WEEKDAY(F205+7,2),1)="C",7,99)))</f>
        <v/>
      </c>
    </row>
    <row r="207" customFormat="false" ht="13.8" hidden="false" customHeight="false" outlineLevel="0" collapsed="false">
      <c r="C207" s="2" t="str">
        <f aca="false">IF(F207="","",IF(ROW()=2,INT((F207-$B$1)/7)+1,IF(INT((F207-$B$1)/7)&lt;&gt;INT((F206-$B$1)/7),INT((F207-$B$1)/7)+1,"")))</f>
        <v/>
      </c>
      <c r="D207" s="2" t="str">
        <f aca="false">IF(C207="","","W"&amp;TEXT(C207,"00"))</f>
        <v/>
      </c>
      <c r="E207" s="2" t="n">
        <f aca="false">E206+1</f>
        <v>206</v>
      </c>
      <c r="F207" s="28" t="str">
        <f aca="false">IF(L207="","",IF(F206+L207&lt;=$B$2,F206+L207,""))</f>
        <v/>
      </c>
      <c r="G207" s="1" t="str">
        <f aca="false">IF(F207="","",TEXT(F207,"ddd"))</f>
        <v/>
      </c>
      <c r="H207" s="2" t="str">
        <f aca="false">IF(F207="","",CHOOSE(WEEKDAY(F207,2),"Mo","Tu","We","Th","Fr","Sa","Su"))</f>
        <v/>
      </c>
      <c r="I207" s="2" t="str">
        <f aca="false">IF(F207="","",MONTH(F207))</f>
        <v/>
      </c>
      <c r="J207" s="2" t="str">
        <f aca="false">IF(F207="","",TEXT(F207,"mmm"))</f>
        <v/>
      </c>
      <c r="K207" s="2" t="str">
        <f aca="false">IF(F207="","",DAY(F207))</f>
        <v/>
      </c>
      <c r="L207" s="46" t="str">
        <f aca="false">IF(F206="","",MIN(IF(MID($B$3,WEEKDAY(F206+1,2),1)="C",1,99),IF(MID($B$3,WEEKDAY(F206+2,2),1)="C",2,99),IF(MID($B$3,WEEKDAY(F206+3,2),1)="C",3,99),IF(MID($B$3,WEEKDAY(F206+4,2),1)="C",4,99),IF(MID($B$3,WEEKDAY(F206+5,2),1)="C",5,99),IF(MID($B$3,WEEKDAY(F206+6,2),1)="C",6,99),IF(MID($B$3,WEEKDAY(F206+7,2),1)="C",7,99)))</f>
        <v/>
      </c>
    </row>
    <row r="208" customFormat="false" ht="13.8" hidden="false" customHeight="false" outlineLevel="0" collapsed="false">
      <c r="C208" s="2" t="str">
        <f aca="false">IF(F208="","",IF(ROW()=2,INT((F208-$B$1)/7)+1,IF(INT((F208-$B$1)/7)&lt;&gt;INT((F207-$B$1)/7),INT((F208-$B$1)/7)+1,"")))</f>
        <v/>
      </c>
      <c r="D208" s="2" t="str">
        <f aca="false">IF(C208="","","W"&amp;TEXT(C208,"00"))</f>
        <v/>
      </c>
      <c r="E208" s="2" t="n">
        <f aca="false">E207+1</f>
        <v>207</v>
      </c>
      <c r="F208" s="28" t="str">
        <f aca="false">IF(L208="","",IF(F207+L208&lt;=$B$2,F207+L208,""))</f>
        <v/>
      </c>
      <c r="G208" s="1" t="str">
        <f aca="false">IF(F208="","",TEXT(F208,"ddd"))</f>
        <v/>
      </c>
      <c r="H208" s="2" t="str">
        <f aca="false">IF(F208="","",CHOOSE(WEEKDAY(F208,2),"Mo","Tu","We","Th","Fr","Sa","Su"))</f>
        <v/>
      </c>
      <c r="I208" s="2" t="str">
        <f aca="false">IF(F208="","",MONTH(F208))</f>
        <v/>
      </c>
      <c r="J208" s="2" t="str">
        <f aca="false">IF(F208="","",TEXT(F208,"mmm"))</f>
        <v/>
      </c>
      <c r="K208" s="2" t="str">
        <f aca="false">IF(F208="","",DAY(F208))</f>
        <v/>
      </c>
      <c r="L208" s="46" t="str">
        <f aca="false">IF(F207="","",MIN(IF(MID($B$3,WEEKDAY(F207+1,2),1)="C",1,99),IF(MID($B$3,WEEKDAY(F207+2,2),1)="C",2,99),IF(MID($B$3,WEEKDAY(F207+3,2),1)="C",3,99),IF(MID($B$3,WEEKDAY(F207+4,2),1)="C",4,99),IF(MID($B$3,WEEKDAY(F207+5,2),1)="C",5,99),IF(MID($B$3,WEEKDAY(F207+6,2),1)="C",6,99),IF(MID($B$3,WEEKDAY(F207+7,2),1)="C",7,99)))</f>
        <v/>
      </c>
    </row>
    <row r="209" customFormat="false" ht="13.8" hidden="false" customHeight="false" outlineLevel="0" collapsed="false">
      <c r="C209" s="2" t="str">
        <f aca="false">IF(F209="","",IF(ROW()=2,INT((F209-$B$1)/7)+1,IF(INT((F209-$B$1)/7)&lt;&gt;INT((F208-$B$1)/7),INT((F209-$B$1)/7)+1,"")))</f>
        <v/>
      </c>
      <c r="D209" s="2" t="str">
        <f aca="false">IF(C209="","","W"&amp;TEXT(C209,"00"))</f>
        <v/>
      </c>
      <c r="E209" s="2" t="n">
        <f aca="false">E208+1</f>
        <v>208</v>
      </c>
      <c r="F209" s="28" t="str">
        <f aca="false">IF(L209="","",IF(F208+L209&lt;=$B$2,F208+L209,""))</f>
        <v/>
      </c>
      <c r="G209" s="1" t="str">
        <f aca="false">IF(F209="","",TEXT(F209,"ddd"))</f>
        <v/>
      </c>
      <c r="H209" s="2" t="str">
        <f aca="false">IF(F209="","",CHOOSE(WEEKDAY(F209,2),"Mo","Tu","We","Th","Fr","Sa","Su"))</f>
        <v/>
      </c>
      <c r="I209" s="2" t="str">
        <f aca="false">IF(F209="","",MONTH(F209))</f>
        <v/>
      </c>
      <c r="J209" s="2" t="str">
        <f aca="false">IF(F209="","",TEXT(F209,"mmm"))</f>
        <v/>
      </c>
      <c r="K209" s="2" t="str">
        <f aca="false">IF(F209="","",DAY(F209))</f>
        <v/>
      </c>
      <c r="L209" s="46" t="str">
        <f aca="false">IF(F208="","",MIN(IF(MID($B$3,WEEKDAY(F208+1,2),1)="C",1,99),IF(MID($B$3,WEEKDAY(F208+2,2),1)="C",2,99),IF(MID($B$3,WEEKDAY(F208+3,2),1)="C",3,99),IF(MID($B$3,WEEKDAY(F208+4,2),1)="C",4,99),IF(MID($B$3,WEEKDAY(F208+5,2),1)="C",5,99),IF(MID($B$3,WEEKDAY(F208+6,2),1)="C",6,99),IF(MID($B$3,WEEKDAY(F208+7,2),1)="C",7,99)))</f>
        <v/>
      </c>
    </row>
    <row r="210" customFormat="false" ht="13.8" hidden="false" customHeight="false" outlineLevel="0" collapsed="false">
      <c r="C210" s="2" t="str">
        <f aca="false">IF(F210="","",IF(ROW()=2,INT((F210-$B$1)/7)+1,IF(INT((F210-$B$1)/7)&lt;&gt;INT((F209-$B$1)/7),INT((F210-$B$1)/7)+1,"")))</f>
        <v/>
      </c>
      <c r="D210" s="2" t="str">
        <f aca="false">IF(C210="","","W"&amp;TEXT(C210,"00"))</f>
        <v/>
      </c>
      <c r="E210" s="2" t="n">
        <f aca="false">E209+1</f>
        <v>209</v>
      </c>
      <c r="F210" s="28" t="str">
        <f aca="false">IF(L210="","",IF(F209+L210&lt;=$B$2,F209+L210,""))</f>
        <v/>
      </c>
      <c r="G210" s="1" t="str">
        <f aca="false">IF(F210="","",TEXT(F210,"ddd"))</f>
        <v/>
      </c>
      <c r="H210" s="2" t="str">
        <f aca="false">IF(F210="","",CHOOSE(WEEKDAY(F210,2),"Mo","Tu","We","Th","Fr","Sa","Su"))</f>
        <v/>
      </c>
      <c r="I210" s="2" t="str">
        <f aca="false">IF(F210="","",MONTH(F210))</f>
        <v/>
      </c>
      <c r="J210" s="2" t="str">
        <f aca="false">IF(F210="","",TEXT(F210,"mmm"))</f>
        <v/>
      </c>
      <c r="K210" s="2" t="str">
        <f aca="false">IF(F210="","",DAY(F210))</f>
        <v/>
      </c>
      <c r="L210" s="46" t="str">
        <f aca="false">IF(F209="","",MIN(IF(MID($B$3,WEEKDAY(F209+1,2),1)="C",1,99),IF(MID($B$3,WEEKDAY(F209+2,2),1)="C",2,99),IF(MID($B$3,WEEKDAY(F209+3,2),1)="C",3,99),IF(MID($B$3,WEEKDAY(F209+4,2),1)="C",4,99),IF(MID($B$3,WEEKDAY(F209+5,2),1)="C",5,99),IF(MID($B$3,WEEKDAY(F209+6,2),1)="C",6,99),IF(MID($B$3,WEEKDAY(F209+7,2),1)="C",7,99)))</f>
        <v/>
      </c>
    </row>
    <row r="211" customFormat="false" ht="13.8" hidden="false" customHeight="false" outlineLevel="0" collapsed="false">
      <c r="C211" s="2" t="str">
        <f aca="false">IF(F211="","",IF(ROW()=2,INT((F211-$B$1)/7)+1,IF(INT((F211-$B$1)/7)&lt;&gt;INT((F210-$B$1)/7),INT((F211-$B$1)/7)+1,"")))</f>
        <v/>
      </c>
      <c r="D211" s="2" t="str">
        <f aca="false">IF(C211="","","W"&amp;TEXT(C211,"00"))</f>
        <v/>
      </c>
      <c r="E211" s="2" t="n">
        <f aca="false">E210+1</f>
        <v>210</v>
      </c>
      <c r="F211" s="28" t="str">
        <f aca="false">IF(L211="","",IF(F210+L211&lt;=$B$2,F210+L211,""))</f>
        <v/>
      </c>
      <c r="G211" s="1" t="str">
        <f aca="false">IF(F211="","",TEXT(F211,"ddd"))</f>
        <v/>
      </c>
      <c r="H211" s="2" t="str">
        <f aca="false">IF(F211="","",CHOOSE(WEEKDAY(F211,2),"Mo","Tu","We","Th","Fr","Sa","Su"))</f>
        <v/>
      </c>
      <c r="I211" s="2" t="str">
        <f aca="false">IF(F211="","",MONTH(F211))</f>
        <v/>
      </c>
      <c r="J211" s="2" t="str">
        <f aca="false">IF(F211="","",TEXT(F211,"mmm"))</f>
        <v/>
      </c>
      <c r="K211" s="2" t="str">
        <f aca="false">IF(F211="","",DAY(F211))</f>
        <v/>
      </c>
      <c r="L211" s="46" t="str">
        <f aca="false">IF(F210="","",MIN(IF(MID($B$3,WEEKDAY(F210+1,2),1)="C",1,99),IF(MID($B$3,WEEKDAY(F210+2,2),1)="C",2,99),IF(MID($B$3,WEEKDAY(F210+3,2),1)="C",3,99),IF(MID($B$3,WEEKDAY(F210+4,2),1)="C",4,99),IF(MID($B$3,WEEKDAY(F210+5,2),1)="C",5,99),IF(MID($B$3,WEEKDAY(F210+6,2),1)="C",6,99),IF(MID($B$3,WEEKDAY(F210+7,2),1)="C",7,99)))</f>
        <v/>
      </c>
    </row>
    <row r="212" customFormat="false" ht="13.8" hidden="false" customHeight="false" outlineLevel="0" collapsed="false">
      <c r="C212" s="2" t="str">
        <f aca="false">IF(F212="","",IF(ROW()=2,INT((F212-$B$1)/7)+1,IF(INT((F212-$B$1)/7)&lt;&gt;INT((F211-$B$1)/7),INT((F212-$B$1)/7)+1,"")))</f>
        <v/>
      </c>
      <c r="D212" s="2" t="str">
        <f aca="false">IF(C212="","","W"&amp;TEXT(C212,"00"))</f>
        <v/>
      </c>
      <c r="E212" s="2" t="n">
        <f aca="false">E211+1</f>
        <v>211</v>
      </c>
      <c r="F212" s="28" t="str">
        <f aca="false">IF(L212="","",IF(F211+L212&lt;=$B$2,F211+L212,""))</f>
        <v/>
      </c>
      <c r="G212" s="1" t="str">
        <f aca="false">IF(F212="","",TEXT(F212,"ddd"))</f>
        <v/>
      </c>
      <c r="H212" s="2" t="str">
        <f aca="false">IF(F212="","",CHOOSE(WEEKDAY(F212,2),"Mo","Tu","We","Th","Fr","Sa","Su"))</f>
        <v/>
      </c>
      <c r="I212" s="2" t="str">
        <f aca="false">IF(F212="","",MONTH(F212))</f>
        <v/>
      </c>
      <c r="J212" s="2" t="str">
        <f aca="false">IF(F212="","",TEXT(F212,"mmm"))</f>
        <v/>
      </c>
      <c r="K212" s="2" t="str">
        <f aca="false">IF(F212="","",DAY(F212))</f>
        <v/>
      </c>
      <c r="L212" s="46" t="str">
        <f aca="false">IF(F211="","",MIN(IF(MID($B$3,WEEKDAY(F211+1,2),1)="C",1,99),IF(MID($B$3,WEEKDAY(F211+2,2),1)="C",2,99),IF(MID($B$3,WEEKDAY(F211+3,2),1)="C",3,99),IF(MID($B$3,WEEKDAY(F211+4,2),1)="C",4,99),IF(MID($B$3,WEEKDAY(F211+5,2),1)="C",5,99),IF(MID($B$3,WEEKDAY(F211+6,2),1)="C",6,99),IF(MID($B$3,WEEKDAY(F211+7,2),1)="C",7,99)))</f>
        <v/>
      </c>
    </row>
    <row r="213" customFormat="false" ht="13.8" hidden="false" customHeight="false" outlineLevel="0" collapsed="false">
      <c r="C213" s="2" t="str">
        <f aca="false">IF(F213="","",IF(ROW()=2,INT((F213-$B$1)/7)+1,IF(INT((F213-$B$1)/7)&lt;&gt;INT((F212-$B$1)/7),INT((F213-$B$1)/7)+1,"")))</f>
        <v/>
      </c>
      <c r="D213" s="2" t="str">
        <f aca="false">IF(C213="","","W"&amp;TEXT(C213,"00"))</f>
        <v/>
      </c>
      <c r="E213" s="2" t="n">
        <f aca="false">E212+1</f>
        <v>212</v>
      </c>
      <c r="F213" s="28" t="str">
        <f aca="false">IF(L213="","",IF(F212+L213&lt;=$B$2,F212+L213,""))</f>
        <v/>
      </c>
      <c r="G213" s="1" t="str">
        <f aca="false">IF(F213="","",TEXT(F213,"ddd"))</f>
        <v/>
      </c>
      <c r="H213" s="2" t="str">
        <f aca="false">IF(F213="","",CHOOSE(WEEKDAY(F213,2),"Mo","Tu","We","Th","Fr","Sa","Su"))</f>
        <v/>
      </c>
      <c r="I213" s="2" t="str">
        <f aca="false">IF(F213="","",MONTH(F213))</f>
        <v/>
      </c>
      <c r="J213" s="2" t="str">
        <f aca="false">IF(F213="","",TEXT(F213,"mmm"))</f>
        <v/>
      </c>
      <c r="K213" s="2" t="str">
        <f aca="false">IF(F213="","",DAY(F213))</f>
        <v/>
      </c>
      <c r="L213" s="46" t="str">
        <f aca="false">IF(F212="","",MIN(IF(MID($B$3,WEEKDAY(F212+1,2),1)="C",1,99),IF(MID($B$3,WEEKDAY(F212+2,2),1)="C",2,99),IF(MID($B$3,WEEKDAY(F212+3,2),1)="C",3,99),IF(MID($B$3,WEEKDAY(F212+4,2),1)="C",4,99),IF(MID($B$3,WEEKDAY(F212+5,2),1)="C",5,99),IF(MID($B$3,WEEKDAY(F212+6,2),1)="C",6,99),IF(MID($B$3,WEEKDAY(F212+7,2),1)="C",7,99)))</f>
        <v/>
      </c>
    </row>
    <row r="214" customFormat="false" ht="13.8" hidden="false" customHeight="false" outlineLevel="0" collapsed="false">
      <c r="C214" s="2" t="str">
        <f aca="false">IF(F214="","",IF(ROW()=2,INT((F214-$B$1)/7)+1,IF(INT((F214-$B$1)/7)&lt;&gt;INT((F213-$B$1)/7),INT((F214-$B$1)/7)+1,"")))</f>
        <v/>
      </c>
      <c r="D214" s="2" t="str">
        <f aca="false">IF(C214="","","W"&amp;TEXT(C214,"00"))</f>
        <v/>
      </c>
      <c r="E214" s="2" t="n">
        <f aca="false">E213+1</f>
        <v>213</v>
      </c>
      <c r="F214" s="28" t="str">
        <f aca="false">IF(L214="","",IF(F213+L214&lt;=$B$2,F213+L214,""))</f>
        <v/>
      </c>
      <c r="G214" s="1" t="str">
        <f aca="false">IF(F214="","",TEXT(F214,"ddd"))</f>
        <v/>
      </c>
      <c r="H214" s="2" t="str">
        <f aca="false">IF(F214="","",CHOOSE(WEEKDAY(F214,2),"Mo","Tu","We","Th","Fr","Sa","Su"))</f>
        <v/>
      </c>
      <c r="I214" s="2" t="str">
        <f aca="false">IF(F214="","",MONTH(F214))</f>
        <v/>
      </c>
      <c r="J214" s="2" t="str">
        <f aca="false">IF(F214="","",TEXT(F214,"mmm"))</f>
        <v/>
      </c>
      <c r="K214" s="2" t="str">
        <f aca="false">IF(F214="","",DAY(F214))</f>
        <v/>
      </c>
      <c r="L214" s="46" t="str">
        <f aca="false">IF(F213="","",MIN(IF(MID($B$3,WEEKDAY(F213+1,2),1)="C",1,99),IF(MID($B$3,WEEKDAY(F213+2,2),1)="C",2,99),IF(MID($B$3,WEEKDAY(F213+3,2),1)="C",3,99),IF(MID($B$3,WEEKDAY(F213+4,2),1)="C",4,99),IF(MID($B$3,WEEKDAY(F213+5,2),1)="C",5,99),IF(MID($B$3,WEEKDAY(F213+6,2),1)="C",6,99),IF(MID($B$3,WEEKDAY(F213+7,2),1)="C",7,99)))</f>
        <v/>
      </c>
    </row>
    <row r="215" customFormat="false" ht="13.8" hidden="false" customHeight="false" outlineLevel="0" collapsed="false">
      <c r="C215" s="2" t="str">
        <f aca="false">IF(F215="","",IF(ROW()=2,INT((F215-$B$1)/7)+1,IF(INT((F215-$B$1)/7)&lt;&gt;INT((F214-$B$1)/7),INT((F215-$B$1)/7)+1,"")))</f>
        <v/>
      </c>
      <c r="D215" s="2" t="str">
        <f aca="false">IF(C215="","","W"&amp;TEXT(C215,"00"))</f>
        <v/>
      </c>
      <c r="E215" s="2" t="n">
        <f aca="false">E214+1</f>
        <v>214</v>
      </c>
      <c r="F215" s="28" t="str">
        <f aca="false">IF(L215="","",IF(F214+L215&lt;=$B$2,F214+L215,""))</f>
        <v/>
      </c>
      <c r="G215" s="1" t="str">
        <f aca="false">IF(F215="","",TEXT(F215,"ddd"))</f>
        <v/>
      </c>
      <c r="H215" s="2" t="str">
        <f aca="false">IF(F215="","",CHOOSE(WEEKDAY(F215,2),"Mo","Tu","We","Th","Fr","Sa","Su"))</f>
        <v/>
      </c>
      <c r="I215" s="2" t="str">
        <f aca="false">IF(F215="","",MONTH(F215))</f>
        <v/>
      </c>
      <c r="J215" s="2" t="str">
        <f aca="false">IF(F215="","",TEXT(F215,"mmm"))</f>
        <v/>
      </c>
      <c r="K215" s="2" t="str">
        <f aca="false">IF(F215="","",DAY(F215))</f>
        <v/>
      </c>
      <c r="L215" s="46" t="str">
        <f aca="false">IF(F214="","",MIN(IF(MID($B$3,WEEKDAY(F214+1,2),1)="C",1,99),IF(MID($B$3,WEEKDAY(F214+2,2),1)="C",2,99),IF(MID($B$3,WEEKDAY(F214+3,2),1)="C",3,99),IF(MID($B$3,WEEKDAY(F214+4,2),1)="C",4,99),IF(MID($B$3,WEEKDAY(F214+5,2),1)="C",5,99),IF(MID($B$3,WEEKDAY(F214+6,2),1)="C",6,99),IF(MID($B$3,WEEKDAY(F214+7,2),1)="C",7,99)))</f>
        <v/>
      </c>
    </row>
    <row r="216" customFormat="false" ht="13.8" hidden="false" customHeight="false" outlineLevel="0" collapsed="false">
      <c r="C216" s="2" t="str">
        <f aca="false">IF(F216="","",IF(ROW()=2,INT((F216-$B$1)/7)+1,IF(INT((F216-$B$1)/7)&lt;&gt;INT((F215-$B$1)/7),INT((F216-$B$1)/7)+1,"")))</f>
        <v/>
      </c>
      <c r="D216" s="2" t="str">
        <f aca="false">IF(C216="","","W"&amp;TEXT(C216,"00"))</f>
        <v/>
      </c>
      <c r="E216" s="2" t="n">
        <f aca="false">E215+1</f>
        <v>215</v>
      </c>
      <c r="F216" s="28" t="str">
        <f aca="false">IF(L216="","",IF(F215+L216&lt;=$B$2,F215+L216,""))</f>
        <v/>
      </c>
      <c r="G216" s="1" t="str">
        <f aca="false">IF(F216="","",TEXT(F216,"ddd"))</f>
        <v/>
      </c>
      <c r="H216" s="2" t="str">
        <f aca="false">IF(F216="","",CHOOSE(WEEKDAY(F216,2),"Mo","Tu","We","Th","Fr","Sa","Su"))</f>
        <v/>
      </c>
      <c r="I216" s="2" t="str">
        <f aca="false">IF(F216="","",MONTH(F216))</f>
        <v/>
      </c>
      <c r="J216" s="2" t="str">
        <f aca="false">IF(F216="","",TEXT(F216,"mmm"))</f>
        <v/>
      </c>
      <c r="K216" s="2" t="str">
        <f aca="false">IF(F216="","",DAY(F216))</f>
        <v/>
      </c>
      <c r="L216" s="46" t="str">
        <f aca="false">IF(F215="","",MIN(IF(MID($B$3,WEEKDAY(F215+1,2),1)="C",1,99),IF(MID($B$3,WEEKDAY(F215+2,2),1)="C",2,99),IF(MID($B$3,WEEKDAY(F215+3,2),1)="C",3,99),IF(MID($B$3,WEEKDAY(F215+4,2),1)="C",4,99),IF(MID($B$3,WEEKDAY(F215+5,2),1)="C",5,99),IF(MID($B$3,WEEKDAY(F215+6,2),1)="C",6,99),IF(MID($B$3,WEEKDAY(F215+7,2),1)="C",7,99)))</f>
        <v/>
      </c>
    </row>
    <row r="217" customFormat="false" ht="13.8" hidden="false" customHeight="false" outlineLevel="0" collapsed="false">
      <c r="C217" s="2" t="str">
        <f aca="false">IF(F217="","",IF(ROW()=2,INT((F217-$B$1)/7)+1,IF(INT((F217-$B$1)/7)&lt;&gt;INT((F216-$B$1)/7),INT((F217-$B$1)/7)+1,"")))</f>
        <v/>
      </c>
      <c r="D217" s="2" t="str">
        <f aca="false">IF(C217="","","W"&amp;TEXT(C217,"00"))</f>
        <v/>
      </c>
      <c r="E217" s="2" t="n">
        <f aca="false">E216+1</f>
        <v>216</v>
      </c>
      <c r="F217" s="28" t="str">
        <f aca="false">IF(L217="","",IF(F216+L217&lt;=$B$2,F216+L217,""))</f>
        <v/>
      </c>
      <c r="G217" s="1" t="str">
        <f aca="false">IF(F217="","",TEXT(F217,"ddd"))</f>
        <v/>
      </c>
      <c r="H217" s="2" t="str">
        <f aca="false">IF(F217="","",CHOOSE(WEEKDAY(F217,2),"Mo","Tu","We","Th","Fr","Sa","Su"))</f>
        <v/>
      </c>
      <c r="I217" s="2" t="str">
        <f aca="false">IF(F217="","",MONTH(F217))</f>
        <v/>
      </c>
      <c r="J217" s="2" t="str">
        <f aca="false">IF(F217="","",TEXT(F217,"mmm"))</f>
        <v/>
      </c>
      <c r="K217" s="2" t="str">
        <f aca="false">IF(F217="","",DAY(F217))</f>
        <v/>
      </c>
      <c r="L217" s="46" t="str">
        <f aca="false">IF(F216="","",MIN(IF(MID($B$3,WEEKDAY(F216+1,2),1)="C",1,99),IF(MID($B$3,WEEKDAY(F216+2,2),1)="C",2,99),IF(MID($B$3,WEEKDAY(F216+3,2),1)="C",3,99),IF(MID($B$3,WEEKDAY(F216+4,2),1)="C",4,99),IF(MID($B$3,WEEKDAY(F216+5,2),1)="C",5,99),IF(MID($B$3,WEEKDAY(F216+6,2),1)="C",6,99),IF(MID($B$3,WEEKDAY(F216+7,2),1)="C",7,99)))</f>
        <v/>
      </c>
    </row>
    <row r="218" customFormat="false" ht="13.8" hidden="false" customHeight="false" outlineLevel="0" collapsed="false">
      <c r="C218" s="2" t="str">
        <f aca="false">IF(F218="","",IF(ROW()=2,INT((F218-$B$1)/7)+1,IF(INT((F218-$B$1)/7)&lt;&gt;INT((F217-$B$1)/7),INT((F218-$B$1)/7)+1,"")))</f>
        <v/>
      </c>
      <c r="D218" s="2" t="str">
        <f aca="false">IF(C218="","","W"&amp;TEXT(C218,"00"))</f>
        <v/>
      </c>
      <c r="E218" s="2" t="n">
        <f aca="false">E217+1</f>
        <v>217</v>
      </c>
      <c r="F218" s="28" t="str">
        <f aca="false">IF(L218="","",IF(F217+L218&lt;=$B$2,F217+L218,""))</f>
        <v/>
      </c>
      <c r="G218" s="1" t="str">
        <f aca="false">IF(F218="","",TEXT(F218,"ddd"))</f>
        <v/>
      </c>
      <c r="H218" s="2" t="str">
        <f aca="false">IF(F218="","",CHOOSE(WEEKDAY(F218,2),"Mo","Tu","We","Th","Fr","Sa","Su"))</f>
        <v/>
      </c>
      <c r="I218" s="2" t="str">
        <f aca="false">IF(F218="","",MONTH(F218))</f>
        <v/>
      </c>
      <c r="J218" s="2" t="str">
        <f aca="false">IF(F218="","",TEXT(F218,"mmm"))</f>
        <v/>
      </c>
      <c r="K218" s="2" t="str">
        <f aca="false">IF(F218="","",DAY(F218))</f>
        <v/>
      </c>
      <c r="L218" s="46" t="str">
        <f aca="false">IF(F217="","",MIN(IF(MID($B$3,WEEKDAY(F217+1,2),1)="C",1,99),IF(MID($B$3,WEEKDAY(F217+2,2),1)="C",2,99),IF(MID($B$3,WEEKDAY(F217+3,2),1)="C",3,99),IF(MID($B$3,WEEKDAY(F217+4,2),1)="C",4,99),IF(MID($B$3,WEEKDAY(F217+5,2),1)="C",5,99),IF(MID($B$3,WEEKDAY(F217+6,2),1)="C",6,99),IF(MID($B$3,WEEKDAY(F217+7,2),1)="C",7,99)))</f>
        <v/>
      </c>
    </row>
    <row r="219" customFormat="false" ht="13.8" hidden="false" customHeight="false" outlineLevel="0" collapsed="false">
      <c r="C219" s="2" t="str">
        <f aca="false">IF(F219="","",IF(ROW()=2,INT((F219-$B$1)/7)+1,IF(INT((F219-$B$1)/7)&lt;&gt;INT((F218-$B$1)/7),INT((F219-$B$1)/7)+1,"")))</f>
        <v/>
      </c>
      <c r="D219" s="2" t="str">
        <f aca="false">IF(C219="","","W"&amp;TEXT(C219,"00"))</f>
        <v/>
      </c>
      <c r="E219" s="2" t="n">
        <f aca="false">E218+1</f>
        <v>218</v>
      </c>
      <c r="F219" s="28" t="str">
        <f aca="false">IF(L219="","",IF(F218+L219&lt;=$B$2,F218+L219,""))</f>
        <v/>
      </c>
      <c r="G219" s="1" t="str">
        <f aca="false">IF(F219="","",TEXT(F219,"ddd"))</f>
        <v/>
      </c>
      <c r="H219" s="2" t="str">
        <f aca="false">IF(F219="","",CHOOSE(WEEKDAY(F219,2),"Mo","Tu","We","Th","Fr","Sa","Su"))</f>
        <v/>
      </c>
      <c r="I219" s="2" t="str">
        <f aca="false">IF(F219="","",MONTH(F219))</f>
        <v/>
      </c>
      <c r="J219" s="2" t="str">
        <f aca="false">IF(F219="","",TEXT(F219,"mmm"))</f>
        <v/>
      </c>
      <c r="K219" s="2" t="str">
        <f aca="false">IF(F219="","",DAY(F219))</f>
        <v/>
      </c>
      <c r="L219" s="46" t="str">
        <f aca="false">IF(F218="","",MIN(IF(MID($B$3,WEEKDAY(F218+1,2),1)="C",1,99),IF(MID($B$3,WEEKDAY(F218+2,2),1)="C",2,99),IF(MID($B$3,WEEKDAY(F218+3,2),1)="C",3,99),IF(MID($B$3,WEEKDAY(F218+4,2),1)="C",4,99),IF(MID($B$3,WEEKDAY(F218+5,2),1)="C",5,99),IF(MID($B$3,WEEKDAY(F218+6,2),1)="C",6,99),IF(MID($B$3,WEEKDAY(F218+7,2),1)="C",7,99)))</f>
        <v/>
      </c>
    </row>
    <row r="220" customFormat="false" ht="13.8" hidden="false" customHeight="false" outlineLevel="0" collapsed="false">
      <c r="C220" s="2" t="str">
        <f aca="false">IF(F220="","",IF(ROW()=2,INT((F220-$B$1)/7)+1,IF(INT((F220-$B$1)/7)&lt;&gt;INT((F219-$B$1)/7),INT((F220-$B$1)/7)+1,"")))</f>
        <v/>
      </c>
      <c r="D220" s="2" t="str">
        <f aca="false">IF(C220="","","W"&amp;TEXT(C220,"00"))</f>
        <v/>
      </c>
      <c r="E220" s="2" t="n">
        <f aca="false">E219+1</f>
        <v>219</v>
      </c>
      <c r="F220" s="28" t="str">
        <f aca="false">IF(L220="","",IF(F219+L220&lt;=$B$2,F219+L220,""))</f>
        <v/>
      </c>
      <c r="G220" s="1" t="str">
        <f aca="false">IF(F220="","",TEXT(F220,"ddd"))</f>
        <v/>
      </c>
      <c r="H220" s="2" t="str">
        <f aca="false">IF(F220="","",CHOOSE(WEEKDAY(F220,2),"Mo","Tu","We","Th","Fr","Sa","Su"))</f>
        <v/>
      </c>
      <c r="I220" s="2" t="str">
        <f aca="false">IF(F220="","",MONTH(F220))</f>
        <v/>
      </c>
      <c r="J220" s="2" t="str">
        <f aca="false">IF(F220="","",TEXT(F220,"mmm"))</f>
        <v/>
      </c>
      <c r="K220" s="2" t="str">
        <f aca="false">IF(F220="","",DAY(F220))</f>
        <v/>
      </c>
      <c r="L220" s="46" t="str">
        <f aca="false">IF(F219="","",MIN(IF(MID($B$3,WEEKDAY(F219+1,2),1)="C",1,99),IF(MID($B$3,WEEKDAY(F219+2,2),1)="C",2,99),IF(MID($B$3,WEEKDAY(F219+3,2),1)="C",3,99),IF(MID($B$3,WEEKDAY(F219+4,2),1)="C",4,99),IF(MID($B$3,WEEKDAY(F219+5,2),1)="C",5,99),IF(MID($B$3,WEEKDAY(F219+6,2),1)="C",6,99),IF(MID($B$3,WEEKDAY(F219+7,2),1)="C",7,99)))</f>
        <v/>
      </c>
    </row>
    <row r="221" customFormat="false" ht="13.8" hidden="false" customHeight="false" outlineLevel="0" collapsed="false">
      <c r="C221" s="2" t="str">
        <f aca="false">IF(F221="","",IF(ROW()=2,INT((F221-$B$1)/7)+1,IF(INT((F221-$B$1)/7)&lt;&gt;INT((F220-$B$1)/7),INT((F221-$B$1)/7)+1,"")))</f>
        <v/>
      </c>
      <c r="D221" s="2" t="str">
        <f aca="false">IF(C221="","","W"&amp;TEXT(C221,"00"))</f>
        <v/>
      </c>
      <c r="E221" s="2" t="n">
        <f aca="false">E220+1</f>
        <v>220</v>
      </c>
      <c r="F221" s="28" t="str">
        <f aca="false">IF(L221="","",IF(F220+L221&lt;=$B$2,F220+L221,""))</f>
        <v/>
      </c>
      <c r="G221" s="1" t="str">
        <f aca="false">IF(F221="","",TEXT(F221,"ddd"))</f>
        <v/>
      </c>
      <c r="H221" s="2" t="str">
        <f aca="false">IF(F221="","",CHOOSE(WEEKDAY(F221,2),"Mo","Tu","We","Th","Fr","Sa","Su"))</f>
        <v/>
      </c>
      <c r="I221" s="2" t="str">
        <f aca="false">IF(F221="","",MONTH(F221))</f>
        <v/>
      </c>
      <c r="J221" s="2" t="str">
        <f aca="false">IF(F221="","",TEXT(F221,"mmm"))</f>
        <v/>
      </c>
      <c r="K221" s="2" t="str">
        <f aca="false">IF(F221="","",DAY(F221))</f>
        <v/>
      </c>
      <c r="L221" s="46" t="str">
        <f aca="false">IF(F220="","",MIN(IF(MID($B$3,WEEKDAY(F220+1,2),1)="C",1,99),IF(MID($B$3,WEEKDAY(F220+2,2),1)="C",2,99),IF(MID($B$3,WEEKDAY(F220+3,2),1)="C",3,99),IF(MID($B$3,WEEKDAY(F220+4,2),1)="C",4,99),IF(MID($B$3,WEEKDAY(F220+5,2),1)="C",5,99),IF(MID($B$3,WEEKDAY(F220+6,2),1)="C",6,99),IF(MID($B$3,WEEKDAY(F220+7,2),1)="C",7,99)))</f>
        <v/>
      </c>
    </row>
    <row r="222" customFormat="false" ht="13.8" hidden="false" customHeight="false" outlineLevel="0" collapsed="false">
      <c r="C222" s="2" t="str">
        <f aca="false">IF(F222="","",IF(ROW()=2,INT((F222-$B$1)/7)+1,IF(INT((F222-$B$1)/7)&lt;&gt;INT((F221-$B$1)/7),INT((F222-$B$1)/7)+1,"")))</f>
        <v/>
      </c>
      <c r="D222" s="2" t="str">
        <f aca="false">IF(C222="","","W"&amp;TEXT(C222,"00"))</f>
        <v/>
      </c>
      <c r="E222" s="2" t="n">
        <f aca="false">E221+1</f>
        <v>221</v>
      </c>
      <c r="F222" s="28" t="str">
        <f aca="false">IF(L222="","",IF(F221+L222&lt;=$B$2,F221+L222,""))</f>
        <v/>
      </c>
      <c r="G222" s="1" t="str">
        <f aca="false">IF(F222="","",TEXT(F222,"ddd"))</f>
        <v/>
      </c>
      <c r="H222" s="2" t="str">
        <f aca="false">IF(F222="","",CHOOSE(WEEKDAY(F222,2),"Mo","Tu","We","Th","Fr","Sa","Su"))</f>
        <v/>
      </c>
      <c r="I222" s="2" t="str">
        <f aca="false">IF(F222="","",MONTH(F222))</f>
        <v/>
      </c>
      <c r="J222" s="2" t="str">
        <f aca="false">IF(F222="","",TEXT(F222,"mmm"))</f>
        <v/>
      </c>
      <c r="K222" s="2" t="str">
        <f aca="false">IF(F222="","",DAY(F222))</f>
        <v/>
      </c>
      <c r="L222" s="46" t="str">
        <f aca="false">IF(F221="","",MIN(IF(MID($B$3,WEEKDAY(F221+1,2),1)="C",1,99),IF(MID($B$3,WEEKDAY(F221+2,2),1)="C",2,99),IF(MID($B$3,WEEKDAY(F221+3,2),1)="C",3,99),IF(MID($B$3,WEEKDAY(F221+4,2),1)="C",4,99),IF(MID($B$3,WEEKDAY(F221+5,2),1)="C",5,99),IF(MID($B$3,WEEKDAY(F221+6,2),1)="C",6,99),IF(MID($B$3,WEEKDAY(F221+7,2),1)="C",7,99)))</f>
        <v/>
      </c>
    </row>
    <row r="223" customFormat="false" ht="13.8" hidden="false" customHeight="false" outlineLevel="0" collapsed="false">
      <c r="C223" s="2" t="str">
        <f aca="false">IF(F223="","",IF(ROW()=2,INT((F223-$B$1)/7)+1,IF(INT((F223-$B$1)/7)&lt;&gt;INT((F222-$B$1)/7),INT((F223-$B$1)/7)+1,"")))</f>
        <v/>
      </c>
      <c r="D223" s="2" t="str">
        <f aca="false">IF(C223="","","W"&amp;TEXT(C223,"00"))</f>
        <v/>
      </c>
      <c r="E223" s="2" t="n">
        <f aca="false">E222+1</f>
        <v>222</v>
      </c>
      <c r="F223" s="28" t="str">
        <f aca="false">IF(L223="","",IF(F222+L223&lt;=$B$2,F222+L223,""))</f>
        <v/>
      </c>
      <c r="G223" s="1" t="str">
        <f aca="false">IF(F223="","",TEXT(F223,"ddd"))</f>
        <v/>
      </c>
      <c r="H223" s="2" t="str">
        <f aca="false">IF(F223="","",CHOOSE(WEEKDAY(F223,2),"Mo","Tu","We","Th","Fr","Sa","Su"))</f>
        <v/>
      </c>
      <c r="I223" s="2" t="str">
        <f aca="false">IF(F223="","",MONTH(F223))</f>
        <v/>
      </c>
      <c r="J223" s="2" t="str">
        <f aca="false">IF(F223="","",TEXT(F223,"mmm"))</f>
        <v/>
      </c>
      <c r="K223" s="2" t="str">
        <f aca="false">IF(F223="","",DAY(F223))</f>
        <v/>
      </c>
      <c r="L223" s="46" t="str">
        <f aca="false">IF(F222="","",MIN(IF(MID($B$3,WEEKDAY(F222+1,2),1)="C",1,99),IF(MID($B$3,WEEKDAY(F222+2,2),1)="C",2,99),IF(MID($B$3,WEEKDAY(F222+3,2),1)="C",3,99),IF(MID($B$3,WEEKDAY(F222+4,2),1)="C",4,99),IF(MID($B$3,WEEKDAY(F222+5,2),1)="C",5,99),IF(MID($B$3,WEEKDAY(F222+6,2),1)="C",6,99),IF(MID($B$3,WEEKDAY(F222+7,2),1)="C",7,99)))</f>
        <v/>
      </c>
    </row>
    <row r="224" customFormat="false" ht="13.8" hidden="false" customHeight="false" outlineLevel="0" collapsed="false">
      <c r="C224" s="2" t="str">
        <f aca="false">IF(F224="","",IF(ROW()=2,INT((F224-$B$1)/7)+1,IF(INT((F224-$B$1)/7)&lt;&gt;INT((F223-$B$1)/7),INT((F224-$B$1)/7)+1,"")))</f>
        <v/>
      </c>
      <c r="D224" s="2" t="str">
        <f aca="false">IF(C224="","","W"&amp;TEXT(C224,"00"))</f>
        <v/>
      </c>
      <c r="E224" s="2" t="n">
        <f aca="false">E223+1</f>
        <v>223</v>
      </c>
      <c r="F224" s="28" t="str">
        <f aca="false">IF(L224="","",IF(F223+L224&lt;=$B$2,F223+L224,""))</f>
        <v/>
      </c>
      <c r="G224" s="1" t="str">
        <f aca="false">IF(F224="","",TEXT(F224,"ddd"))</f>
        <v/>
      </c>
      <c r="H224" s="2" t="str">
        <f aca="false">IF(F224="","",CHOOSE(WEEKDAY(F224,2),"Mo","Tu","We","Th","Fr","Sa","Su"))</f>
        <v/>
      </c>
      <c r="I224" s="2" t="str">
        <f aca="false">IF(F224="","",MONTH(F224))</f>
        <v/>
      </c>
      <c r="J224" s="2" t="str">
        <f aca="false">IF(F224="","",TEXT(F224,"mmm"))</f>
        <v/>
      </c>
      <c r="K224" s="2" t="str">
        <f aca="false">IF(F224="","",DAY(F224))</f>
        <v/>
      </c>
      <c r="L224" s="46" t="str">
        <f aca="false">IF(F223="","",MIN(IF(MID($B$3,WEEKDAY(F223+1,2),1)="C",1,99),IF(MID($B$3,WEEKDAY(F223+2,2),1)="C",2,99),IF(MID($B$3,WEEKDAY(F223+3,2),1)="C",3,99),IF(MID($B$3,WEEKDAY(F223+4,2),1)="C",4,99),IF(MID($B$3,WEEKDAY(F223+5,2),1)="C",5,99),IF(MID($B$3,WEEKDAY(F223+6,2),1)="C",6,99),IF(MID($B$3,WEEKDAY(F223+7,2),1)="C",7,99)))</f>
        <v/>
      </c>
    </row>
    <row r="225" customFormat="false" ht="13.8" hidden="false" customHeight="false" outlineLevel="0" collapsed="false">
      <c r="C225" s="2" t="str">
        <f aca="false">IF(F225="","",IF(ROW()=2,INT((F225-$B$1)/7)+1,IF(INT((F225-$B$1)/7)&lt;&gt;INT((F224-$B$1)/7),INT((F225-$B$1)/7)+1,"")))</f>
        <v/>
      </c>
      <c r="D225" s="2" t="str">
        <f aca="false">IF(C225="","","W"&amp;TEXT(C225,"00"))</f>
        <v/>
      </c>
      <c r="E225" s="2" t="n">
        <f aca="false">E224+1</f>
        <v>224</v>
      </c>
      <c r="F225" s="28" t="str">
        <f aca="false">IF(L225="","",IF(F224+L225&lt;=$B$2,F224+L225,""))</f>
        <v/>
      </c>
      <c r="G225" s="1" t="str">
        <f aca="false">IF(F225="","",TEXT(F225,"ddd"))</f>
        <v/>
      </c>
      <c r="H225" s="2" t="str">
        <f aca="false">IF(F225="","",CHOOSE(WEEKDAY(F225,2),"Mo","Tu","We","Th","Fr","Sa","Su"))</f>
        <v/>
      </c>
      <c r="I225" s="2" t="str">
        <f aca="false">IF(F225="","",MONTH(F225))</f>
        <v/>
      </c>
      <c r="J225" s="2" t="str">
        <f aca="false">IF(F225="","",TEXT(F225,"mmm"))</f>
        <v/>
      </c>
      <c r="K225" s="2" t="str">
        <f aca="false">IF(F225="","",DAY(F225))</f>
        <v/>
      </c>
      <c r="L225" s="46" t="str">
        <f aca="false">IF(F224="","",MIN(IF(MID($B$3,WEEKDAY(F224+1,2),1)="C",1,99),IF(MID($B$3,WEEKDAY(F224+2,2),1)="C",2,99),IF(MID($B$3,WEEKDAY(F224+3,2),1)="C",3,99),IF(MID($B$3,WEEKDAY(F224+4,2),1)="C",4,99),IF(MID($B$3,WEEKDAY(F224+5,2),1)="C",5,99),IF(MID($B$3,WEEKDAY(F224+6,2),1)="C",6,99),IF(MID($B$3,WEEKDAY(F224+7,2),1)="C",7,99)))</f>
        <v/>
      </c>
    </row>
    <row r="226" customFormat="false" ht="13.8" hidden="false" customHeight="false" outlineLevel="0" collapsed="false">
      <c r="C226" s="2" t="str">
        <f aca="false">IF(F226="","",IF(ROW()=2,INT((F226-$B$1)/7)+1,IF(INT((F226-$B$1)/7)&lt;&gt;INT((F225-$B$1)/7),INT((F226-$B$1)/7)+1,"")))</f>
        <v/>
      </c>
      <c r="D226" s="2" t="str">
        <f aca="false">IF(C226="","","W"&amp;TEXT(C226,"00"))</f>
        <v/>
      </c>
      <c r="E226" s="2" t="n">
        <f aca="false">E225+1</f>
        <v>225</v>
      </c>
      <c r="F226" s="28" t="str">
        <f aca="false">IF(L226="","",IF(F225+L226&lt;=$B$2,F225+L226,""))</f>
        <v/>
      </c>
      <c r="G226" s="1" t="str">
        <f aca="false">IF(F226="","",TEXT(F226,"ddd"))</f>
        <v/>
      </c>
      <c r="H226" s="2" t="str">
        <f aca="false">IF(F226="","",CHOOSE(WEEKDAY(F226,2),"Mo","Tu","We","Th","Fr","Sa","Su"))</f>
        <v/>
      </c>
      <c r="I226" s="2" t="str">
        <f aca="false">IF(F226="","",MONTH(F226))</f>
        <v/>
      </c>
      <c r="J226" s="2" t="str">
        <f aca="false">IF(F226="","",TEXT(F226,"mmm"))</f>
        <v/>
      </c>
      <c r="K226" s="2" t="str">
        <f aca="false">IF(F226="","",DAY(F226))</f>
        <v/>
      </c>
      <c r="L226" s="46" t="str">
        <f aca="false">IF(F225="","",MIN(IF(MID($B$3,WEEKDAY(F225+1,2),1)="C",1,99),IF(MID($B$3,WEEKDAY(F225+2,2),1)="C",2,99),IF(MID($B$3,WEEKDAY(F225+3,2),1)="C",3,99),IF(MID($B$3,WEEKDAY(F225+4,2),1)="C",4,99),IF(MID($B$3,WEEKDAY(F225+5,2),1)="C",5,99),IF(MID($B$3,WEEKDAY(F225+6,2),1)="C",6,99),IF(MID($B$3,WEEKDAY(F225+7,2),1)="C",7,99)))</f>
        <v/>
      </c>
    </row>
    <row r="227" customFormat="false" ht="13.8" hidden="false" customHeight="false" outlineLevel="0" collapsed="false">
      <c r="C227" s="2" t="str">
        <f aca="false">IF(F227="","",IF(ROW()=2,INT((F227-$B$1)/7)+1,IF(INT((F227-$B$1)/7)&lt;&gt;INT((F226-$B$1)/7),INT((F227-$B$1)/7)+1,"")))</f>
        <v/>
      </c>
      <c r="D227" s="2" t="str">
        <f aca="false">IF(C227="","","W"&amp;TEXT(C227,"00"))</f>
        <v/>
      </c>
      <c r="E227" s="2" t="n">
        <f aca="false">E226+1</f>
        <v>226</v>
      </c>
      <c r="F227" s="28" t="str">
        <f aca="false">IF(L227="","",IF(F226+L227&lt;=$B$2,F226+L227,""))</f>
        <v/>
      </c>
      <c r="G227" s="1" t="str">
        <f aca="false">IF(F227="","",TEXT(F227,"ddd"))</f>
        <v/>
      </c>
      <c r="H227" s="2" t="str">
        <f aca="false">IF(F227="","",CHOOSE(WEEKDAY(F227,2),"Mo","Tu","We","Th","Fr","Sa","Su"))</f>
        <v/>
      </c>
      <c r="I227" s="2" t="str">
        <f aca="false">IF(F227="","",MONTH(F227))</f>
        <v/>
      </c>
      <c r="J227" s="2" t="str">
        <f aca="false">IF(F227="","",TEXT(F227,"mmm"))</f>
        <v/>
      </c>
      <c r="K227" s="2" t="str">
        <f aca="false">IF(F227="","",DAY(F227))</f>
        <v/>
      </c>
      <c r="L227" s="46" t="str">
        <f aca="false">IF(F226="","",MIN(IF(MID($B$3,WEEKDAY(F226+1,2),1)="C",1,99),IF(MID($B$3,WEEKDAY(F226+2,2),1)="C",2,99),IF(MID($B$3,WEEKDAY(F226+3,2),1)="C",3,99),IF(MID($B$3,WEEKDAY(F226+4,2),1)="C",4,99),IF(MID($B$3,WEEKDAY(F226+5,2),1)="C",5,99),IF(MID($B$3,WEEKDAY(F226+6,2),1)="C",6,99),IF(MID($B$3,WEEKDAY(F226+7,2),1)="C",7,99)))</f>
        <v/>
      </c>
    </row>
    <row r="228" customFormat="false" ht="13.8" hidden="false" customHeight="false" outlineLevel="0" collapsed="false">
      <c r="C228" s="2" t="str">
        <f aca="false">IF(F228="","",IF(ROW()=2,INT((F228-$B$1)/7)+1,IF(INT((F228-$B$1)/7)&lt;&gt;INT((F227-$B$1)/7),INT((F228-$B$1)/7)+1,"")))</f>
        <v/>
      </c>
      <c r="D228" s="2" t="str">
        <f aca="false">IF(C228="","","W"&amp;TEXT(C228,"00"))</f>
        <v/>
      </c>
      <c r="E228" s="2" t="n">
        <f aca="false">E227+1</f>
        <v>227</v>
      </c>
      <c r="F228" s="28" t="str">
        <f aca="false">IF(L228="","",IF(F227+L228&lt;=$B$2,F227+L228,""))</f>
        <v/>
      </c>
      <c r="G228" s="1" t="str">
        <f aca="false">IF(F228="","",TEXT(F228,"ddd"))</f>
        <v/>
      </c>
      <c r="H228" s="2" t="str">
        <f aca="false">IF(F228="","",CHOOSE(WEEKDAY(F228,2),"Mo","Tu","We","Th","Fr","Sa","Su"))</f>
        <v/>
      </c>
      <c r="I228" s="2" t="str">
        <f aca="false">IF(F228="","",MONTH(F228))</f>
        <v/>
      </c>
      <c r="J228" s="2" t="str">
        <f aca="false">IF(F228="","",TEXT(F228,"mmm"))</f>
        <v/>
      </c>
      <c r="K228" s="2" t="str">
        <f aca="false">IF(F228="","",DAY(F228))</f>
        <v/>
      </c>
      <c r="L228" s="46" t="str">
        <f aca="false">IF(F227="","",MIN(IF(MID($B$3,WEEKDAY(F227+1,2),1)="C",1,99),IF(MID($B$3,WEEKDAY(F227+2,2),1)="C",2,99),IF(MID($B$3,WEEKDAY(F227+3,2),1)="C",3,99),IF(MID($B$3,WEEKDAY(F227+4,2),1)="C",4,99),IF(MID($B$3,WEEKDAY(F227+5,2),1)="C",5,99),IF(MID($B$3,WEEKDAY(F227+6,2),1)="C",6,99),IF(MID($B$3,WEEKDAY(F227+7,2),1)="C",7,99)))</f>
        <v/>
      </c>
    </row>
    <row r="229" customFormat="false" ht="13.8" hidden="false" customHeight="false" outlineLevel="0" collapsed="false">
      <c r="C229" s="2" t="str">
        <f aca="false">IF(F229="","",IF(ROW()=2,INT((F229-$B$1)/7)+1,IF(INT((F229-$B$1)/7)&lt;&gt;INT((F228-$B$1)/7),INT((F229-$B$1)/7)+1,"")))</f>
        <v/>
      </c>
      <c r="D229" s="2" t="str">
        <f aca="false">IF(C229="","","W"&amp;TEXT(C229,"00"))</f>
        <v/>
      </c>
      <c r="E229" s="2" t="n">
        <f aca="false">E228+1</f>
        <v>228</v>
      </c>
      <c r="F229" s="28" t="str">
        <f aca="false">IF(L229="","",IF(F228+L229&lt;=$B$2,F228+L229,""))</f>
        <v/>
      </c>
      <c r="G229" s="1" t="str">
        <f aca="false">IF(F229="","",TEXT(F229,"ddd"))</f>
        <v/>
      </c>
      <c r="H229" s="2" t="str">
        <f aca="false">IF(F229="","",CHOOSE(WEEKDAY(F229,2),"Mo","Tu","We","Th","Fr","Sa","Su"))</f>
        <v/>
      </c>
      <c r="I229" s="2" t="str">
        <f aca="false">IF(F229="","",MONTH(F229))</f>
        <v/>
      </c>
      <c r="J229" s="2" t="str">
        <f aca="false">IF(F229="","",TEXT(F229,"mmm"))</f>
        <v/>
      </c>
      <c r="K229" s="2" t="str">
        <f aca="false">IF(F229="","",DAY(F229))</f>
        <v/>
      </c>
      <c r="L229" s="46" t="str">
        <f aca="false">IF(F228="","",MIN(IF(MID($B$3,WEEKDAY(F228+1,2),1)="C",1,99),IF(MID($B$3,WEEKDAY(F228+2,2),1)="C",2,99),IF(MID($B$3,WEEKDAY(F228+3,2),1)="C",3,99),IF(MID($B$3,WEEKDAY(F228+4,2),1)="C",4,99),IF(MID($B$3,WEEKDAY(F228+5,2),1)="C",5,99),IF(MID($B$3,WEEKDAY(F228+6,2),1)="C",6,99),IF(MID($B$3,WEEKDAY(F228+7,2),1)="C",7,99)))</f>
        <v/>
      </c>
    </row>
    <row r="230" customFormat="false" ht="13.8" hidden="false" customHeight="false" outlineLevel="0" collapsed="false">
      <c r="C230" s="2" t="str">
        <f aca="false">IF(F230="","",IF(ROW()=2,INT((F230-$B$1)/7)+1,IF(INT((F230-$B$1)/7)&lt;&gt;INT((F229-$B$1)/7),INT((F230-$B$1)/7)+1,"")))</f>
        <v/>
      </c>
      <c r="D230" s="2" t="str">
        <f aca="false">IF(C230="","","W"&amp;TEXT(C230,"00"))</f>
        <v/>
      </c>
      <c r="E230" s="2" t="n">
        <f aca="false">E229+1</f>
        <v>229</v>
      </c>
      <c r="F230" s="28" t="str">
        <f aca="false">IF(L230="","",IF(F229+L230&lt;=$B$2,F229+L230,""))</f>
        <v/>
      </c>
      <c r="G230" s="1" t="str">
        <f aca="false">IF(F230="","",TEXT(F230,"ddd"))</f>
        <v/>
      </c>
      <c r="H230" s="2" t="str">
        <f aca="false">IF(F230="","",CHOOSE(WEEKDAY(F230,2),"Mo","Tu","We","Th","Fr","Sa","Su"))</f>
        <v/>
      </c>
      <c r="I230" s="2" t="str">
        <f aca="false">IF(F230="","",MONTH(F230))</f>
        <v/>
      </c>
      <c r="J230" s="2" t="str">
        <f aca="false">IF(F230="","",TEXT(F230,"mmm"))</f>
        <v/>
      </c>
      <c r="K230" s="2" t="str">
        <f aca="false">IF(F230="","",DAY(F230))</f>
        <v/>
      </c>
      <c r="L230" s="46" t="str">
        <f aca="false">IF(F229="","",MIN(IF(MID($B$3,WEEKDAY(F229+1,2),1)="C",1,99),IF(MID($B$3,WEEKDAY(F229+2,2),1)="C",2,99),IF(MID($B$3,WEEKDAY(F229+3,2),1)="C",3,99),IF(MID($B$3,WEEKDAY(F229+4,2),1)="C",4,99),IF(MID($B$3,WEEKDAY(F229+5,2),1)="C",5,99),IF(MID($B$3,WEEKDAY(F229+6,2),1)="C",6,99),IF(MID($B$3,WEEKDAY(F229+7,2),1)="C",7,99)))</f>
        <v/>
      </c>
    </row>
    <row r="231" customFormat="false" ht="13.8" hidden="false" customHeight="false" outlineLevel="0" collapsed="false">
      <c r="C231" s="2" t="str">
        <f aca="false">IF(F231="","",IF(ROW()=2,INT((F231-$B$1)/7)+1,IF(INT((F231-$B$1)/7)&lt;&gt;INT((F230-$B$1)/7),INT((F231-$B$1)/7)+1,"")))</f>
        <v/>
      </c>
      <c r="D231" s="2" t="str">
        <f aca="false">IF(C231="","","W"&amp;TEXT(C231,"00"))</f>
        <v/>
      </c>
      <c r="E231" s="2" t="n">
        <f aca="false">E230+1</f>
        <v>230</v>
      </c>
      <c r="F231" s="28" t="str">
        <f aca="false">IF(L231="","",IF(F230+L231&lt;=$B$2,F230+L231,""))</f>
        <v/>
      </c>
      <c r="G231" s="1" t="str">
        <f aca="false">IF(F231="","",TEXT(F231,"ddd"))</f>
        <v/>
      </c>
      <c r="H231" s="2" t="str">
        <f aca="false">IF(F231="","",CHOOSE(WEEKDAY(F231,2),"Mo","Tu","We","Th","Fr","Sa","Su"))</f>
        <v/>
      </c>
      <c r="I231" s="2" t="str">
        <f aca="false">IF(F231="","",MONTH(F231))</f>
        <v/>
      </c>
      <c r="J231" s="2" t="str">
        <f aca="false">IF(F231="","",TEXT(F231,"mmm"))</f>
        <v/>
      </c>
      <c r="K231" s="2" t="str">
        <f aca="false">IF(F231="","",DAY(F231))</f>
        <v/>
      </c>
      <c r="L231" s="46" t="str">
        <f aca="false">IF(F230="","",MIN(IF(MID($B$3,WEEKDAY(F230+1,2),1)="C",1,99),IF(MID($B$3,WEEKDAY(F230+2,2),1)="C",2,99),IF(MID($B$3,WEEKDAY(F230+3,2),1)="C",3,99),IF(MID($B$3,WEEKDAY(F230+4,2),1)="C",4,99),IF(MID($B$3,WEEKDAY(F230+5,2),1)="C",5,99),IF(MID($B$3,WEEKDAY(F230+6,2),1)="C",6,99),IF(MID($B$3,WEEKDAY(F230+7,2),1)="C",7,99)))</f>
        <v/>
      </c>
    </row>
    <row r="232" customFormat="false" ht="13.8" hidden="false" customHeight="false" outlineLevel="0" collapsed="false">
      <c r="C232" s="2" t="str">
        <f aca="false">IF(F232="","",IF(ROW()=2,INT((F232-$B$1)/7)+1,IF(INT((F232-$B$1)/7)&lt;&gt;INT((F231-$B$1)/7),INT((F232-$B$1)/7)+1,"")))</f>
        <v/>
      </c>
      <c r="D232" s="2" t="str">
        <f aca="false">IF(C232="","","W"&amp;TEXT(C232,"00"))</f>
        <v/>
      </c>
      <c r="E232" s="2" t="n">
        <f aca="false">E231+1</f>
        <v>231</v>
      </c>
      <c r="F232" s="28" t="str">
        <f aca="false">IF(L232="","",IF(F231+L232&lt;=$B$2,F231+L232,""))</f>
        <v/>
      </c>
      <c r="G232" s="1" t="str">
        <f aca="false">IF(F232="","",TEXT(F232,"ddd"))</f>
        <v/>
      </c>
      <c r="H232" s="2" t="str">
        <f aca="false">IF(F232="","",CHOOSE(WEEKDAY(F232,2),"Mo","Tu","We","Th","Fr","Sa","Su"))</f>
        <v/>
      </c>
      <c r="I232" s="2" t="str">
        <f aca="false">IF(F232="","",MONTH(F232))</f>
        <v/>
      </c>
      <c r="J232" s="2" t="str">
        <f aca="false">IF(F232="","",TEXT(F232,"mmm"))</f>
        <v/>
      </c>
      <c r="K232" s="2" t="str">
        <f aca="false">IF(F232="","",DAY(F232))</f>
        <v/>
      </c>
      <c r="L232" s="46" t="str">
        <f aca="false">IF(F231="","",MIN(IF(MID($B$3,WEEKDAY(F231+1,2),1)="C",1,99),IF(MID($B$3,WEEKDAY(F231+2,2),1)="C",2,99),IF(MID($B$3,WEEKDAY(F231+3,2),1)="C",3,99),IF(MID($B$3,WEEKDAY(F231+4,2),1)="C",4,99),IF(MID($B$3,WEEKDAY(F231+5,2),1)="C",5,99),IF(MID($B$3,WEEKDAY(F231+6,2),1)="C",6,99),IF(MID($B$3,WEEKDAY(F231+7,2),1)="C",7,99)))</f>
        <v/>
      </c>
    </row>
    <row r="233" customFormat="false" ht="13.8" hidden="false" customHeight="false" outlineLevel="0" collapsed="false">
      <c r="C233" s="2" t="str">
        <f aca="false">IF(F233="","",IF(ROW()=2,INT((F233-$B$1)/7)+1,IF(INT((F233-$B$1)/7)&lt;&gt;INT((F232-$B$1)/7),INT((F233-$B$1)/7)+1,"")))</f>
        <v/>
      </c>
      <c r="D233" s="2" t="str">
        <f aca="false">IF(C233="","","W"&amp;TEXT(C233,"00"))</f>
        <v/>
      </c>
      <c r="E233" s="2" t="n">
        <f aca="false">E232+1</f>
        <v>232</v>
      </c>
      <c r="F233" s="28" t="str">
        <f aca="false">IF(L233="","",IF(F232+L233&lt;=$B$2,F232+L233,""))</f>
        <v/>
      </c>
      <c r="G233" s="1" t="str">
        <f aca="false">IF(F233="","",TEXT(F233,"ddd"))</f>
        <v/>
      </c>
      <c r="H233" s="2" t="str">
        <f aca="false">IF(F233="","",CHOOSE(WEEKDAY(F233,2),"Mo","Tu","We","Th","Fr","Sa","Su"))</f>
        <v/>
      </c>
      <c r="I233" s="2" t="str">
        <f aca="false">IF(F233="","",MONTH(F233))</f>
        <v/>
      </c>
      <c r="J233" s="2" t="str">
        <f aca="false">IF(F233="","",TEXT(F233,"mmm"))</f>
        <v/>
      </c>
      <c r="K233" s="2" t="str">
        <f aca="false">IF(F233="","",DAY(F233))</f>
        <v/>
      </c>
      <c r="L233" s="46" t="str">
        <f aca="false">IF(F232="","",MIN(IF(MID($B$3,WEEKDAY(F232+1,2),1)="C",1,99),IF(MID($B$3,WEEKDAY(F232+2,2),1)="C",2,99),IF(MID($B$3,WEEKDAY(F232+3,2),1)="C",3,99),IF(MID($B$3,WEEKDAY(F232+4,2),1)="C",4,99),IF(MID($B$3,WEEKDAY(F232+5,2),1)="C",5,99),IF(MID($B$3,WEEKDAY(F232+6,2),1)="C",6,99),IF(MID($B$3,WEEKDAY(F232+7,2),1)="C",7,99)))</f>
        <v/>
      </c>
    </row>
    <row r="234" customFormat="false" ht="13.8" hidden="false" customHeight="false" outlineLevel="0" collapsed="false">
      <c r="C234" s="2" t="str">
        <f aca="false">IF(F234="","",IF(ROW()=2,INT((F234-$B$1)/7)+1,IF(INT((F234-$B$1)/7)&lt;&gt;INT((F233-$B$1)/7),INT((F234-$B$1)/7)+1,"")))</f>
        <v/>
      </c>
      <c r="D234" s="2" t="str">
        <f aca="false">IF(C234="","","W"&amp;TEXT(C234,"00"))</f>
        <v/>
      </c>
      <c r="E234" s="2" t="n">
        <f aca="false">E233+1</f>
        <v>233</v>
      </c>
      <c r="F234" s="28" t="str">
        <f aca="false">IF(L234="","",IF(F233+L234&lt;=$B$2,F233+L234,""))</f>
        <v/>
      </c>
      <c r="G234" s="1" t="str">
        <f aca="false">IF(F234="","",TEXT(F234,"ddd"))</f>
        <v/>
      </c>
      <c r="H234" s="2" t="str">
        <f aca="false">IF(F234="","",CHOOSE(WEEKDAY(F234,2),"Mo","Tu","We","Th","Fr","Sa","Su"))</f>
        <v/>
      </c>
      <c r="I234" s="2" t="str">
        <f aca="false">IF(F234="","",MONTH(F234))</f>
        <v/>
      </c>
      <c r="J234" s="2" t="str">
        <f aca="false">IF(F234="","",TEXT(F234,"mmm"))</f>
        <v/>
      </c>
      <c r="K234" s="2" t="str">
        <f aca="false">IF(F234="","",DAY(F234))</f>
        <v/>
      </c>
      <c r="L234" s="46" t="str">
        <f aca="false">IF(F233="","",MIN(IF(MID($B$3,WEEKDAY(F233+1,2),1)="C",1,99),IF(MID($B$3,WEEKDAY(F233+2,2),1)="C",2,99),IF(MID($B$3,WEEKDAY(F233+3,2),1)="C",3,99),IF(MID($B$3,WEEKDAY(F233+4,2),1)="C",4,99),IF(MID($B$3,WEEKDAY(F233+5,2),1)="C",5,99),IF(MID($B$3,WEEKDAY(F233+6,2),1)="C",6,99),IF(MID($B$3,WEEKDAY(F233+7,2),1)="C",7,99)))</f>
        <v/>
      </c>
    </row>
    <row r="235" customFormat="false" ht="13.8" hidden="false" customHeight="false" outlineLevel="0" collapsed="false">
      <c r="C235" s="2" t="str">
        <f aca="false">IF(F235="","",IF(ROW()=2,INT((F235-$B$1)/7)+1,IF(INT((F235-$B$1)/7)&lt;&gt;INT((F234-$B$1)/7),INT((F235-$B$1)/7)+1,"")))</f>
        <v/>
      </c>
      <c r="D235" s="2" t="str">
        <f aca="false">IF(C235="","","W"&amp;TEXT(C235,"00"))</f>
        <v/>
      </c>
      <c r="E235" s="2" t="n">
        <f aca="false">E234+1</f>
        <v>234</v>
      </c>
      <c r="F235" s="28" t="str">
        <f aca="false">IF(L235="","",IF(F234+L235&lt;=$B$2,F234+L235,""))</f>
        <v/>
      </c>
      <c r="G235" s="1" t="str">
        <f aca="false">IF(F235="","",TEXT(F235,"ddd"))</f>
        <v/>
      </c>
      <c r="H235" s="2" t="str">
        <f aca="false">IF(F235="","",CHOOSE(WEEKDAY(F235,2),"Mo","Tu","We","Th","Fr","Sa","Su"))</f>
        <v/>
      </c>
      <c r="I235" s="2" t="str">
        <f aca="false">IF(F235="","",MONTH(F235))</f>
        <v/>
      </c>
      <c r="J235" s="2" t="str">
        <f aca="false">IF(F235="","",TEXT(F235,"mmm"))</f>
        <v/>
      </c>
      <c r="K235" s="2" t="str">
        <f aca="false">IF(F235="","",DAY(F235))</f>
        <v/>
      </c>
      <c r="L235" s="46" t="str">
        <f aca="false">IF(F234="","",MIN(IF(MID($B$3,WEEKDAY(F234+1,2),1)="C",1,99),IF(MID($B$3,WEEKDAY(F234+2,2),1)="C",2,99),IF(MID($B$3,WEEKDAY(F234+3,2),1)="C",3,99),IF(MID($B$3,WEEKDAY(F234+4,2),1)="C",4,99),IF(MID($B$3,WEEKDAY(F234+5,2),1)="C",5,99),IF(MID($B$3,WEEKDAY(F234+6,2),1)="C",6,99),IF(MID($B$3,WEEKDAY(F234+7,2),1)="C",7,99)))</f>
        <v/>
      </c>
    </row>
    <row r="236" customFormat="false" ht="13.8" hidden="false" customHeight="false" outlineLevel="0" collapsed="false">
      <c r="C236" s="2" t="str">
        <f aca="false">IF(F236="","",IF(ROW()=2,INT((F236-$B$1)/7)+1,IF(INT((F236-$B$1)/7)&lt;&gt;INT((F235-$B$1)/7),INT((F236-$B$1)/7)+1,"")))</f>
        <v/>
      </c>
      <c r="D236" s="2" t="str">
        <f aca="false">IF(C236="","","W"&amp;TEXT(C236,"00"))</f>
        <v/>
      </c>
      <c r="E236" s="2" t="n">
        <f aca="false">E235+1</f>
        <v>235</v>
      </c>
      <c r="F236" s="28" t="str">
        <f aca="false">IF(L236="","",IF(F235+L236&lt;=$B$2,F235+L236,""))</f>
        <v/>
      </c>
      <c r="G236" s="1" t="str">
        <f aca="false">IF(F236="","",TEXT(F236,"ddd"))</f>
        <v/>
      </c>
      <c r="H236" s="2" t="str">
        <f aca="false">IF(F236="","",CHOOSE(WEEKDAY(F236,2),"Mo","Tu","We","Th","Fr","Sa","Su"))</f>
        <v/>
      </c>
      <c r="I236" s="2" t="str">
        <f aca="false">IF(F236="","",MONTH(F236))</f>
        <v/>
      </c>
      <c r="J236" s="2" t="str">
        <f aca="false">IF(F236="","",TEXT(F236,"mmm"))</f>
        <v/>
      </c>
      <c r="K236" s="2" t="str">
        <f aca="false">IF(F236="","",DAY(F236))</f>
        <v/>
      </c>
      <c r="L236" s="46" t="str">
        <f aca="false">IF(F235="","",MIN(IF(MID($B$3,WEEKDAY(F235+1,2),1)="C",1,99),IF(MID($B$3,WEEKDAY(F235+2,2),1)="C",2,99),IF(MID($B$3,WEEKDAY(F235+3,2),1)="C",3,99),IF(MID($B$3,WEEKDAY(F235+4,2),1)="C",4,99),IF(MID($B$3,WEEKDAY(F235+5,2),1)="C",5,99),IF(MID($B$3,WEEKDAY(F235+6,2),1)="C",6,99),IF(MID($B$3,WEEKDAY(F235+7,2),1)="C",7,99)))</f>
        <v/>
      </c>
    </row>
    <row r="237" customFormat="false" ht="13.8" hidden="false" customHeight="false" outlineLevel="0" collapsed="false">
      <c r="C237" s="2" t="str">
        <f aca="false">IF(F237="","",IF(ROW()=2,INT((F237-$B$1)/7)+1,IF(INT((F237-$B$1)/7)&lt;&gt;INT((F236-$B$1)/7),INT((F237-$B$1)/7)+1,"")))</f>
        <v/>
      </c>
      <c r="D237" s="2" t="str">
        <f aca="false">IF(C237="","","W"&amp;TEXT(C237,"00"))</f>
        <v/>
      </c>
      <c r="E237" s="2" t="n">
        <f aca="false">E236+1</f>
        <v>236</v>
      </c>
      <c r="F237" s="28" t="str">
        <f aca="false">IF(L237="","",IF(F236+L237&lt;=$B$2,F236+L237,""))</f>
        <v/>
      </c>
      <c r="G237" s="1" t="str">
        <f aca="false">IF(F237="","",TEXT(F237,"ddd"))</f>
        <v/>
      </c>
      <c r="H237" s="2" t="str">
        <f aca="false">IF(F237="","",CHOOSE(WEEKDAY(F237,2),"Mo","Tu","We","Th","Fr","Sa","Su"))</f>
        <v/>
      </c>
      <c r="I237" s="2" t="str">
        <f aca="false">IF(F237="","",MONTH(F237))</f>
        <v/>
      </c>
      <c r="J237" s="2" t="str">
        <f aca="false">IF(F237="","",TEXT(F237,"mmm"))</f>
        <v/>
      </c>
      <c r="K237" s="2" t="str">
        <f aca="false">IF(F237="","",DAY(F237))</f>
        <v/>
      </c>
      <c r="L237" s="46" t="str">
        <f aca="false">IF(F236="","",MIN(IF(MID($B$3,WEEKDAY(F236+1,2),1)="C",1,99),IF(MID($B$3,WEEKDAY(F236+2,2),1)="C",2,99),IF(MID($B$3,WEEKDAY(F236+3,2),1)="C",3,99),IF(MID($B$3,WEEKDAY(F236+4,2),1)="C",4,99),IF(MID($B$3,WEEKDAY(F236+5,2),1)="C",5,99),IF(MID($B$3,WEEKDAY(F236+6,2),1)="C",6,99),IF(MID($B$3,WEEKDAY(F236+7,2),1)="C",7,99)))</f>
        <v/>
      </c>
    </row>
    <row r="238" customFormat="false" ht="13.8" hidden="false" customHeight="false" outlineLevel="0" collapsed="false">
      <c r="C238" s="2" t="str">
        <f aca="false">IF(F238="","",IF(ROW()=2,INT((F238-$B$1)/7)+1,IF(INT((F238-$B$1)/7)&lt;&gt;INT((F237-$B$1)/7),INT((F238-$B$1)/7)+1,"")))</f>
        <v/>
      </c>
      <c r="D238" s="2" t="str">
        <f aca="false">IF(C238="","","W"&amp;TEXT(C238,"00"))</f>
        <v/>
      </c>
      <c r="E238" s="2" t="n">
        <f aca="false">E237+1</f>
        <v>237</v>
      </c>
      <c r="F238" s="28" t="str">
        <f aca="false">IF(L238="","",IF(F237+L238&lt;=$B$2,F237+L238,""))</f>
        <v/>
      </c>
      <c r="G238" s="1" t="str">
        <f aca="false">IF(F238="","",TEXT(F238,"ddd"))</f>
        <v/>
      </c>
      <c r="H238" s="2" t="str">
        <f aca="false">IF(F238="","",CHOOSE(WEEKDAY(F238,2),"Mo","Tu","We","Th","Fr","Sa","Su"))</f>
        <v/>
      </c>
      <c r="I238" s="2" t="str">
        <f aca="false">IF(F238="","",MONTH(F238))</f>
        <v/>
      </c>
      <c r="J238" s="2" t="str">
        <f aca="false">IF(F238="","",TEXT(F238,"mmm"))</f>
        <v/>
      </c>
      <c r="K238" s="2" t="str">
        <f aca="false">IF(F238="","",DAY(F238))</f>
        <v/>
      </c>
      <c r="L238" s="46" t="str">
        <f aca="false">IF(F237="","",MIN(IF(MID($B$3,WEEKDAY(F237+1,2),1)="C",1,99),IF(MID($B$3,WEEKDAY(F237+2,2),1)="C",2,99),IF(MID($B$3,WEEKDAY(F237+3,2),1)="C",3,99),IF(MID($B$3,WEEKDAY(F237+4,2),1)="C",4,99),IF(MID($B$3,WEEKDAY(F237+5,2),1)="C",5,99),IF(MID($B$3,WEEKDAY(F237+6,2),1)="C",6,99),IF(MID($B$3,WEEKDAY(F237+7,2),1)="C",7,99)))</f>
        <v/>
      </c>
    </row>
    <row r="239" customFormat="false" ht="13.8" hidden="false" customHeight="false" outlineLevel="0" collapsed="false">
      <c r="C239" s="2" t="str">
        <f aca="false">IF(F239="","",IF(ROW()=2,INT((F239-$B$1)/7)+1,IF(INT((F239-$B$1)/7)&lt;&gt;INT((F238-$B$1)/7),INT((F239-$B$1)/7)+1,"")))</f>
        <v/>
      </c>
      <c r="D239" s="2" t="str">
        <f aca="false">IF(C239="","","W"&amp;TEXT(C239,"00"))</f>
        <v/>
      </c>
      <c r="E239" s="2" t="n">
        <f aca="false">E238+1</f>
        <v>238</v>
      </c>
      <c r="F239" s="28" t="str">
        <f aca="false">IF(L239="","",IF(F238+L239&lt;=$B$2,F238+L239,""))</f>
        <v/>
      </c>
      <c r="G239" s="1" t="str">
        <f aca="false">IF(F239="","",TEXT(F239,"ddd"))</f>
        <v/>
      </c>
      <c r="H239" s="2" t="str">
        <f aca="false">IF(F239="","",CHOOSE(WEEKDAY(F239,2),"Mo","Tu","We","Th","Fr","Sa","Su"))</f>
        <v/>
      </c>
      <c r="I239" s="2" t="str">
        <f aca="false">IF(F239="","",MONTH(F239))</f>
        <v/>
      </c>
      <c r="J239" s="2" t="str">
        <f aca="false">IF(F239="","",TEXT(F239,"mmm"))</f>
        <v/>
      </c>
      <c r="K239" s="2" t="str">
        <f aca="false">IF(F239="","",DAY(F239))</f>
        <v/>
      </c>
      <c r="L239" s="46" t="str">
        <f aca="false">IF(F238="","",MIN(IF(MID($B$3,WEEKDAY(F238+1,2),1)="C",1,99),IF(MID($B$3,WEEKDAY(F238+2,2),1)="C",2,99),IF(MID($B$3,WEEKDAY(F238+3,2),1)="C",3,99),IF(MID($B$3,WEEKDAY(F238+4,2),1)="C",4,99),IF(MID($B$3,WEEKDAY(F238+5,2),1)="C",5,99),IF(MID($B$3,WEEKDAY(F238+6,2),1)="C",6,99),IF(MID($B$3,WEEKDAY(F238+7,2),1)="C",7,99)))</f>
        <v/>
      </c>
    </row>
    <row r="240" customFormat="false" ht="13.8" hidden="false" customHeight="false" outlineLevel="0" collapsed="false">
      <c r="C240" s="2" t="str">
        <f aca="false">IF(F240="","",IF(ROW()=2,INT((F240-$B$1)/7)+1,IF(INT((F240-$B$1)/7)&lt;&gt;INT((F239-$B$1)/7),INT((F240-$B$1)/7)+1,"")))</f>
        <v/>
      </c>
      <c r="D240" s="2" t="str">
        <f aca="false">IF(C240="","","W"&amp;TEXT(C240,"00"))</f>
        <v/>
      </c>
      <c r="E240" s="2" t="n">
        <f aca="false">E239+1</f>
        <v>239</v>
      </c>
      <c r="F240" s="28" t="str">
        <f aca="false">IF(L240="","",IF(F239+L240&lt;=$B$2,F239+L240,""))</f>
        <v/>
      </c>
      <c r="G240" s="1" t="str">
        <f aca="false">IF(F240="","",TEXT(F240,"ddd"))</f>
        <v/>
      </c>
      <c r="H240" s="2" t="str">
        <f aca="false">IF(F240="","",CHOOSE(WEEKDAY(F240,2),"Mo","Tu","We","Th","Fr","Sa","Su"))</f>
        <v/>
      </c>
      <c r="I240" s="2" t="str">
        <f aca="false">IF(F240="","",MONTH(F240))</f>
        <v/>
      </c>
      <c r="J240" s="2" t="str">
        <f aca="false">IF(F240="","",TEXT(F240,"mmm"))</f>
        <v/>
      </c>
      <c r="K240" s="2" t="str">
        <f aca="false">IF(F240="","",DAY(F240))</f>
        <v/>
      </c>
      <c r="L240" s="46" t="str">
        <f aca="false">IF(F239="","",MIN(IF(MID($B$3,WEEKDAY(F239+1,2),1)="C",1,99),IF(MID($B$3,WEEKDAY(F239+2,2),1)="C",2,99),IF(MID($B$3,WEEKDAY(F239+3,2),1)="C",3,99),IF(MID($B$3,WEEKDAY(F239+4,2),1)="C",4,99),IF(MID($B$3,WEEKDAY(F239+5,2),1)="C",5,99),IF(MID($B$3,WEEKDAY(F239+6,2),1)="C",6,99),IF(MID($B$3,WEEKDAY(F239+7,2),1)="C",7,99)))</f>
        <v/>
      </c>
    </row>
    <row r="241" customFormat="false" ht="13.8" hidden="false" customHeight="false" outlineLevel="0" collapsed="false">
      <c r="C241" s="2" t="str">
        <f aca="false">IF(F241="","",IF(ROW()=2,INT((F241-$B$1)/7)+1,IF(INT((F241-$B$1)/7)&lt;&gt;INT((F240-$B$1)/7),INT((F241-$B$1)/7)+1,"")))</f>
        <v/>
      </c>
      <c r="D241" s="2" t="str">
        <f aca="false">IF(C241="","","W"&amp;TEXT(C241,"00"))</f>
        <v/>
      </c>
      <c r="E241" s="2" t="n">
        <f aca="false">E240+1</f>
        <v>240</v>
      </c>
      <c r="F241" s="28" t="str">
        <f aca="false">IF(L241="","",IF(F240+L241&lt;=$B$2,F240+L241,""))</f>
        <v/>
      </c>
      <c r="G241" s="1" t="str">
        <f aca="false">IF(F241="","",TEXT(F241,"ddd"))</f>
        <v/>
      </c>
      <c r="H241" s="2" t="str">
        <f aca="false">IF(F241="","",CHOOSE(WEEKDAY(F241,2),"Mo","Tu","We","Th","Fr","Sa","Su"))</f>
        <v/>
      </c>
      <c r="I241" s="2" t="str">
        <f aca="false">IF(F241="","",MONTH(F241))</f>
        <v/>
      </c>
      <c r="J241" s="2" t="str">
        <f aca="false">IF(F241="","",TEXT(F241,"mmm"))</f>
        <v/>
      </c>
      <c r="K241" s="2" t="str">
        <f aca="false">IF(F241="","",DAY(F241))</f>
        <v/>
      </c>
      <c r="L241" s="46" t="str">
        <f aca="false">IF(F240="","",MIN(IF(MID($B$3,WEEKDAY(F240+1,2),1)="C",1,99),IF(MID($B$3,WEEKDAY(F240+2,2),1)="C",2,99),IF(MID($B$3,WEEKDAY(F240+3,2),1)="C",3,99),IF(MID($B$3,WEEKDAY(F240+4,2),1)="C",4,99),IF(MID($B$3,WEEKDAY(F240+5,2),1)="C",5,99),IF(MID($B$3,WEEKDAY(F240+6,2),1)="C",6,99),IF(MID($B$3,WEEKDAY(F240+7,2),1)="C",7,99)))</f>
        <v/>
      </c>
    </row>
    <row r="242" customFormat="false" ht="13.8" hidden="false" customHeight="false" outlineLevel="0" collapsed="false">
      <c r="C242" s="2" t="str">
        <f aca="false">IF(F242="","",IF(ROW()=2,INT((F242-$B$1)/7)+1,IF(INT((F242-$B$1)/7)&lt;&gt;INT((F241-$B$1)/7),INT((F242-$B$1)/7)+1,"")))</f>
        <v/>
      </c>
      <c r="D242" s="2" t="str">
        <f aca="false">IF(C242="","","W"&amp;TEXT(C242,"00"))</f>
        <v/>
      </c>
      <c r="E242" s="2" t="n">
        <f aca="false">E241+1</f>
        <v>241</v>
      </c>
      <c r="F242" s="28" t="str">
        <f aca="false">IF(L242="","",IF(F241+L242&lt;=$B$2,F241+L242,""))</f>
        <v/>
      </c>
      <c r="G242" s="1" t="str">
        <f aca="false">IF(F242="","",TEXT(F242,"ddd"))</f>
        <v/>
      </c>
      <c r="H242" s="2" t="str">
        <f aca="false">IF(F242="","",CHOOSE(WEEKDAY(F242,2),"Mo","Tu","We","Th","Fr","Sa","Su"))</f>
        <v/>
      </c>
      <c r="I242" s="2" t="str">
        <f aca="false">IF(F242="","",MONTH(F242))</f>
        <v/>
      </c>
      <c r="J242" s="2" t="str">
        <f aca="false">IF(F242="","",TEXT(F242,"mmm"))</f>
        <v/>
      </c>
      <c r="K242" s="2" t="str">
        <f aca="false">IF(F242="","",DAY(F242))</f>
        <v/>
      </c>
      <c r="L242" s="46" t="str">
        <f aca="false">IF(F241="","",MIN(IF(MID($B$3,WEEKDAY(F241+1,2),1)="C",1,99),IF(MID($B$3,WEEKDAY(F241+2,2),1)="C",2,99),IF(MID($B$3,WEEKDAY(F241+3,2),1)="C",3,99),IF(MID($B$3,WEEKDAY(F241+4,2),1)="C",4,99),IF(MID($B$3,WEEKDAY(F241+5,2),1)="C",5,99),IF(MID($B$3,WEEKDAY(F241+6,2),1)="C",6,99),IF(MID($B$3,WEEKDAY(F241+7,2),1)="C",7,99)))</f>
        <v/>
      </c>
    </row>
    <row r="243" customFormat="false" ht="13.8" hidden="false" customHeight="false" outlineLevel="0" collapsed="false">
      <c r="C243" s="2" t="str">
        <f aca="false">IF(F243="","",IF(ROW()=2,INT((F243-$B$1)/7)+1,IF(INT((F243-$B$1)/7)&lt;&gt;INT((F242-$B$1)/7),INT((F243-$B$1)/7)+1,"")))</f>
        <v/>
      </c>
      <c r="D243" s="2" t="str">
        <f aca="false">IF(C243="","","W"&amp;TEXT(C243,"00"))</f>
        <v/>
      </c>
      <c r="E243" s="2" t="n">
        <f aca="false">E242+1</f>
        <v>242</v>
      </c>
      <c r="F243" s="28" t="str">
        <f aca="false">IF(L243="","",IF(F242+L243&lt;=$B$2,F242+L243,""))</f>
        <v/>
      </c>
      <c r="G243" s="1" t="str">
        <f aca="false">IF(F243="","",TEXT(F243,"ddd"))</f>
        <v/>
      </c>
      <c r="H243" s="2" t="str">
        <f aca="false">IF(F243="","",CHOOSE(WEEKDAY(F243,2),"Mo","Tu","We","Th","Fr","Sa","Su"))</f>
        <v/>
      </c>
      <c r="I243" s="2" t="str">
        <f aca="false">IF(F243="","",MONTH(F243))</f>
        <v/>
      </c>
      <c r="J243" s="2" t="str">
        <f aca="false">IF(F243="","",TEXT(F243,"mmm"))</f>
        <v/>
      </c>
      <c r="K243" s="2" t="str">
        <f aca="false">IF(F243="","",DAY(F243))</f>
        <v/>
      </c>
      <c r="L243" s="46" t="str">
        <f aca="false">IF(F242="","",MIN(IF(MID($B$3,WEEKDAY(F242+1,2),1)="C",1,99),IF(MID($B$3,WEEKDAY(F242+2,2),1)="C",2,99),IF(MID($B$3,WEEKDAY(F242+3,2),1)="C",3,99),IF(MID($B$3,WEEKDAY(F242+4,2),1)="C",4,99),IF(MID($B$3,WEEKDAY(F242+5,2),1)="C",5,99),IF(MID($B$3,WEEKDAY(F242+6,2),1)="C",6,99),IF(MID($B$3,WEEKDAY(F242+7,2),1)="C",7,99)))</f>
        <v/>
      </c>
    </row>
    <row r="244" customFormat="false" ht="13.8" hidden="false" customHeight="false" outlineLevel="0" collapsed="false">
      <c r="C244" s="2" t="str">
        <f aca="false">IF(F244="","",IF(ROW()=2,INT((F244-$B$1)/7)+1,IF(INT((F244-$B$1)/7)&lt;&gt;INT((F243-$B$1)/7),INT((F244-$B$1)/7)+1,"")))</f>
        <v/>
      </c>
      <c r="D244" s="2" t="str">
        <f aca="false">IF(C244="","","W"&amp;TEXT(C244,"00"))</f>
        <v/>
      </c>
      <c r="E244" s="2" t="n">
        <f aca="false">E243+1</f>
        <v>243</v>
      </c>
      <c r="F244" s="28" t="str">
        <f aca="false">IF(L244="","",IF(F243+L244&lt;=$B$2,F243+L244,""))</f>
        <v/>
      </c>
      <c r="G244" s="1" t="str">
        <f aca="false">IF(F244="","",TEXT(F244,"ddd"))</f>
        <v/>
      </c>
      <c r="H244" s="2" t="str">
        <f aca="false">IF(F244="","",CHOOSE(WEEKDAY(F244,2),"Mo","Tu","We","Th","Fr","Sa","Su"))</f>
        <v/>
      </c>
      <c r="I244" s="2" t="str">
        <f aca="false">IF(F244="","",MONTH(F244))</f>
        <v/>
      </c>
      <c r="J244" s="2" t="str">
        <f aca="false">IF(F244="","",TEXT(F244,"mmm"))</f>
        <v/>
      </c>
      <c r="K244" s="2" t="str">
        <f aca="false">IF(F244="","",DAY(F244))</f>
        <v/>
      </c>
      <c r="L244" s="46" t="str">
        <f aca="false">IF(F243="","",MIN(IF(MID($B$3,WEEKDAY(F243+1,2),1)="C",1,99),IF(MID($B$3,WEEKDAY(F243+2,2),1)="C",2,99),IF(MID($B$3,WEEKDAY(F243+3,2),1)="C",3,99),IF(MID($B$3,WEEKDAY(F243+4,2),1)="C",4,99),IF(MID($B$3,WEEKDAY(F243+5,2),1)="C",5,99),IF(MID($B$3,WEEKDAY(F243+6,2),1)="C",6,99),IF(MID($B$3,WEEKDAY(F243+7,2),1)="C",7,99)))</f>
        <v/>
      </c>
    </row>
    <row r="245" customFormat="false" ht="13.8" hidden="false" customHeight="false" outlineLevel="0" collapsed="false">
      <c r="C245" s="2" t="str">
        <f aca="false">IF(F245="","",IF(ROW()=2,INT((F245-$B$1)/7)+1,IF(INT((F245-$B$1)/7)&lt;&gt;INT((F244-$B$1)/7),INT((F245-$B$1)/7)+1,"")))</f>
        <v/>
      </c>
      <c r="D245" s="2" t="str">
        <f aca="false">IF(C245="","","W"&amp;TEXT(C245,"00"))</f>
        <v/>
      </c>
      <c r="E245" s="2" t="n">
        <f aca="false">E244+1</f>
        <v>244</v>
      </c>
      <c r="F245" s="28" t="str">
        <f aca="false">IF(L245="","",IF(F244+L245&lt;=$B$2,F244+L245,""))</f>
        <v/>
      </c>
      <c r="G245" s="1" t="str">
        <f aca="false">IF(F245="","",TEXT(F245,"ddd"))</f>
        <v/>
      </c>
      <c r="H245" s="2" t="str">
        <f aca="false">IF(F245="","",CHOOSE(WEEKDAY(F245,2),"Mo","Tu","We","Th","Fr","Sa","Su"))</f>
        <v/>
      </c>
      <c r="I245" s="2" t="str">
        <f aca="false">IF(F245="","",MONTH(F245))</f>
        <v/>
      </c>
      <c r="J245" s="2" t="str">
        <f aca="false">IF(F245="","",TEXT(F245,"mmm"))</f>
        <v/>
      </c>
      <c r="K245" s="2" t="str">
        <f aca="false">IF(F245="","",DAY(F245))</f>
        <v/>
      </c>
      <c r="L245" s="46" t="str">
        <f aca="false">IF(F244="","",MIN(IF(MID($B$3,WEEKDAY(F244+1,2),1)="C",1,99),IF(MID($B$3,WEEKDAY(F244+2,2),1)="C",2,99),IF(MID($B$3,WEEKDAY(F244+3,2),1)="C",3,99),IF(MID($B$3,WEEKDAY(F244+4,2),1)="C",4,99),IF(MID($B$3,WEEKDAY(F244+5,2),1)="C",5,99),IF(MID($B$3,WEEKDAY(F244+6,2),1)="C",6,99),IF(MID($B$3,WEEKDAY(F244+7,2),1)="C",7,99)))</f>
        <v/>
      </c>
    </row>
    <row r="246" customFormat="false" ht="13.8" hidden="false" customHeight="false" outlineLevel="0" collapsed="false">
      <c r="C246" s="2" t="str">
        <f aca="false">IF(F246="","",IF(ROW()=2,INT((F246-$B$1)/7)+1,IF(INT((F246-$B$1)/7)&lt;&gt;INT((F245-$B$1)/7),INT((F246-$B$1)/7)+1,"")))</f>
        <v/>
      </c>
      <c r="D246" s="2" t="str">
        <f aca="false">IF(C246="","","W"&amp;TEXT(C246,"00"))</f>
        <v/>
      </c>
      <c r="E246" s="2" t="n">
        <f aca="false">E245+1</f>
        <v>245</v>
      </c>
      <c r="F246" s="28" t="str">
        <f aca="false">IF(L246="","",IF(F245+L246&lt;=$B$2,F245+L246,""))</f>
        <v/>
      </c>
      <c r="G246" s="1" t="str">
        <f aca="false">IF(F246="","",TEXT(F246,"ddd"))</f>
        <v/>
      </c>
      <c r="H246" s="2" t="str">
        <f aca="false">IF(F246="","",CHOOSE(WEEKDAY(F246,2),"Mo","Tu","We","Th","Fr","Sa","Su"))</f>
        <v/>
      </c>
      <c r="I246" s="2" t="str">
        <f aca="false">IF(F246="","",MONTH(F246))</f>
        <v/>
      </c>
      <c r="J246" s="2" t="str">
        <f aca="false">IF(F246="","",TEXT(F246,"mmm"))</f>
        <v/>
      </c>
      <c r="K246" s="2" t="str">
        <f aca="false">IF(F246="","",DAY(F246))</f>
        <v/>
      </c>
      <c r="L246" s="46" t="str">
        <f aca="false">IF(F245="","",MIN(IF(MID($B$3,WEEKDAY(F245+1,2),1)="C",1,99),IF(MID($B$3,WEEKDAY(F245+2,2),1)="C",2,99),IF(MID($B$3,WEEKDAY(F245+3,2),1)="C",3,99),IF(MID($B$3,WEEKDAY(F245+4,2),1)="C",4,99),IF(MID($B$3,WEEKDAY(F245+5,2),1)="C",5,99),IF(MID($B$3,WEEKDAY(F245+6,2),1)="C",6,99),IF(MID($B$3,WEEKDAY(F245+7,2),1)="C",7,99)))</f>
        <v/>
      </c>
    </row>
    <row r="247" customFormat="false" ht="13.8" hidden="false" customHeight="false" outlineLevel="0" collapsed="false">
      <c r="C247" s="2" t="str">
        <f aca="false">IF(F247="","",IF(ROW()=2,INT((F247-$B$1)/7)+1,IF(INT((F247-$B$1)/7)&lt;&gt;INT((F246-$B$1)/7),INT((F247-$B$1)/7)+1,"")))</f>
        <v/>
      </c>
      <c r="D247" s="2" t="str">
        <f aca="false">IF(C247="","","W"&amp;TEXT(C247,"00"))</f>
        <v/>
      </c>
      <c r="E247" s="2" t="n">
        <f aca="false">E246+1</f>
        <v>246</v>
      </c>
      <c r="F247" s="28" t="str">
        <f aca="false">IF(L247="","",IF(F246+L247&lt;=$B$2,F246+L247,""))</f>
        <v/>
      </c>
      <c r="G247" s="1" t="str">
        <f aca="false">IF(F247="","",TEXT(F247,"ddd"))</f>
        <v/>
      </c>
      <c r="H247" s="2" t="str">
        <f aca="false">IF(F247="","",CHOOSE(WEEKDAY(F247,2),"Mo","Tu","We","Th","Fr","Sa","Su"))</f>
        <v/>
      </c>
      <c r="I247" s="2" t="str">
        <f aca="false">IF(F247="","",MONTH(F247))</f>
        <v/>
      </c>
      <c r="J247" s="2" t="str">
        <f aca="false">IF(F247="","",TEXT(F247,"mmm"))</f>
        <v/>
      </c>
      <c r="K247" s="2" t="str">
        <f aca="false">IF(F247="","",DAY(F247))</f>
        <v/>
      </c>
      <c r="L247" s="46" t="str">
        <f aca="false">IF(F246="","",MIN(IF(MID($B$3,WEEKDAY(F246+1,2),1)="C",1,99),IF(MID($B$3,WEEKDAY(F246+2,2),1)="C",2,99),IF(MID($B$3,WEEKDAY(F246+3,2),1)="C",3,99),IF(MID($B$3,WEEKDAY(F246+4,2),1)="C",4,99),IF(MID($B$3,WEEKDAY(F246+5,2),1)="C",5,99),IF(MID($B$3,WEEKDAY(F246+6,2),1)="C",6,99),IF(MID($B$3,WEEKDAY(F246+7,2),1)="C",7,99)))</f>
        <v/>
      </c>
    </row>
    <row r="248" customFormat="false" ht="13.8" hidden="false" customHeight="false" outlineLevel="0" collapsed="false">
      <c r="C248" s="2" t="str">
        <f aca="false">IF(F248="","",IF(ROW()=2,INT((F248-$B$1)/7)+1,IF(INT((F248-$B$1)/7)&lt;&gt;INT((F247-$B$1)/7),INT((F248-$B$1)/7)+1,"")))</f>
        <v/>
      </c>
      <c r="D248" s="2" t="str">
        <f aca="false">IF(C248="","","W"&amp;TEXT(C248,"00"))</f>
        <v/>
      </c>
      <c r="E248" s="2" t="n">
        <f aca="false">E247+1</f>
        <v>247</v>
      </c>
      <c r="F248" s="28" t="str">
        <f aca="false">IF(L248="","",IF(F247+L248&lt;=$B$2,F247+L248,""))</f>
        <v/>
      </c>
      <c r="G248" s="1" t="str">
        <f aca="false">IF(F248="","",TEXT(F248,"ddd"))</f>
        <v/>
      </c>
      <c r="H248" s="2" t="str">
        <f aca="false">IF(F248="","",CHOOSE(WEEKDAY(F248,2),"Mo","Tu","We","Th","Fr","Sa","Su"))</f>
        <v/>
      </c>
      <c r="I248" s="2" t="str">
        <f aca="false">IF(F248="","",MONTH(F248))</f>
        <v/>
      </c>
      <c r="J248" s="2" t="str">
        <f aca="false">IF(F248="","",TEXT(F248,"mmm"))</f>
        <v/>
      </c>
      <c r="K248" s="2" t="str">
        <f aca="false">IF(F248="","",DAY(F248))</f>
        <v/>
      </c>
      <c r="L248" s="46" t="str">
        <f aca="false">IF(F247="","",MIN(IF(MID($B$3,WEEKDAY(F247+1,2),1)="C",1,99),IF(MID($B$3,WEEKDAY(F247+2,2),1)="C",2,99),IF(MID($B$3,WEEKDAY(F247+3,2),1)="C",3,99),IF(MID($B$3,WEEKDAY(F247+4,2),1)="C",4,99),IF(MID($B$3,WEEKDAY(F247+5,2),1)="C",5,99),IF(MID($B$3,WEEKDAY(F247+6,2),1)="C",6,99),IF(MID($B$3,WEEKDAY(F247+7,2),1)="C",7,99)))</f>
        <v/>
      </c>
    </row>
    <row r="249" customFormat="false" ht="13.8" hidden="false" customHeight="false" outlineLevel="0" collapsed="false">
      <c r="C249" s="2" t="str">
        <f aca="false">IF(F249="","",IF(ROW()=2,INT((F249-$B$1)/7)+1,IF(INT((F249-$B$1)/7)&lt;&gt;INT((F248-$B$1)/7),INT((F249-$B$1)/7)+1,"")))</f>
        <v/>
      </c>
      <c r="D249" s="2" t="str">
        <f aca="false">IF(C249="","","W"&amp;TEXT(C249,"00"))</f>
        <v/>
      </c>
      <c r="E249" s="2" t="n">
        <f aca="false">E248+1</f>
        <v>248</v>
      </c>
      <c r="F249" s="28" t="str">
        <f aca="false">IF(L249="","",IF(F248+L249&lt;=$B$2,F248+L249,""))</f>
        <v/>
      </c>
      <c r="G249" s="1" t="str">
        <f aca="false">IF(F249="","",TEXT(F249,"ddd"))</f>
        <v/>
      </c>
      <c r="H249" s="2" t="str">
        <f aca="false">IF(F249="","",CHOOSE(WEEKDAY(F249,2),"Mo","Tu","We","Th","Fr","Sa","Su"))</f>
        <v/>
      </c>
      <c r="I249" s="2" t="str">
        <f aca="false">IF(F249="","",MONTH(F249))</f>
        <v/>
      </c>
      <c r="J249" s="2" t="str">
        <f aca="false">IF(F249="","",TEXT(F249,"mmm"))</f>
        <v/>
      </c>
      <c r="K249" s="2" t="str">
        <f aca="false">IF(F249="","",DAY(F249))</f>
        <v/>
      </c>
      <c r="L249" s="46" t="str">
        <f aca="false">IF(F248="","",MIN(IF(MID($B$3,WEEKDAY(F248+1,2),1)="C",1,99),IF(MID($B$3,WEEKDAY(F248+2,2),1)="C",2,99),IF(MID($B$3,WEEKDAY(F248+3,2),1)="C",3,99),IF(MID($B$3,WEEKDAY(F248+4,2),1)="C",4,99),IF(MID($B$3,WEEKDAY(F248+5,2),1)="C",5,99),IF(MID($B$3,WEEKDAY(F248+6,2),1)="C",6,99),IF(MID($B$3,WEEKDAY(F248+7,2),1)="C",7,99)))</f>
        <v/>
      </c>
    </row>
    <row r="250" customFormat="false" ht="13.8" hidden="false" customHeight="false" outlineLevel="0" collapsed="false">
      <c r="C250" s="2" t="str">
        <f aca="false">IF(F250="","",IF(ROW()=2,INT((F250-$B$1)/7)+1,IF(INT((F250-$B$1)/7)&lt;&gt;INT((F249-$B$1)/7),INT((F250-$B$1)/7)+1,"")))</f>
        <v/>
      </c>
      <c r="D250" s="2" t="str">
        <f aca="false">IF(C250="","","W"&amp;TEXT(C250,"00"))</f>
        <v/>
      </c>
      <c r="E250" s="2" t="n">
        <f aca="false">E249+1</f>
        <v>249</v>
      </c>
      <c r="F250" s="28" t="str">
        <f aca="false">IF(L250="","",IF(F249+L250&lt;=$B$2,F249+L250,""))</f>
        <v/>
      </c>
      <c r="G250" s="1" t="str">
        <f aca="false">IF(F250="","",TEXT(F250,"ddd"))</f>
        <v/>
      </c>
      <c r="H250" s="2" t="str">
        <f aca="false">IF(F250="","",CHOOSE(WEEKDAY(F250,2),"Mo","Tu","We","Th","Fr","Sa","Su"))</f>
        <v/>
      </c>
      <c r="I250" s="2" t="str">
        <f aca="false">IF(F250="","",MONTH(F250))</f>
        <v/>
      </c>
      <c r="J250" s="2" t="str">
        <f aca="false">IF(F250="","",TEXT(F250,"mmm"))</f>
        <v/>
      </c>
      <c r="K250" s="2" t="str">
        <f aca="false">IF(F250="","",DAY(F250))</f>
        <v/>
      </c>
      <c r="L250" s="46" t="str">
        <f aca="false">IF(F249="","",MIN(IF(MID($B$3,WEEKDAY(F249+1,2),1)="C",1,99),IF(MID($B$3,WEEKDAY(F249+2,2),1)="C",2,99),IF(MID($B$3,WEEKDAY(F249+3,2),1)="C",3,99),IF(MID($B$3,WEEKDAY(F249+4,2),1)="C",4,99),IF(MID($B$3,WEEKDAY(F249+5,2),1)="C",5,99),IF(MID($B$3,WEEKDAY(F249+6,2),1)="C",6,99),IF(MID($B$3,WEEKDAY(F249+7,2),1)="C",7,99)))</f>
        <v/>
      </c>
    </row>
    <row r="251" customFormat="false" ht="13.8" hidden="false" customHeight="false" outlineLevel="0" collapsed="false">
      <c r="C251" s="2" t="str">
        <f aca="false">IF(F251="","",IF(ROW()=2,INT((F251-$B$1)/7)+1,IF(INT((F251-$B$1)/7)&lt;&gt;INT((F250-$B$1)/7),INT((F251-$B$1)/7)+1,"")))</f>
        <v/>
      </c>
      <c r="D251" s="2" t="str">
        <f aca="false">IF(C251="","","W"&amp;TEXT(C251,"00"))</f>
        <v/>
      </c>
      <c r="E251" s="2" t="n">
        <f aca="false">E250+1</f>
        <v>250</v>
      </c>
      <c r="F251" s="28" t="str">
        <f aca="false">IF(L251="","",IF(F250+L251&lt;=$B$2,F250+L251,""))</f>
        <v/>
      </c>
      <c r="G251" s="1" t="str">
        <f aca="false">IF(F251="","",TEXT(F251,"ddd"))</f>
        <v/>
      </c>
      <c r="H251" s="2" t="str">
        <f aca="false">IF(F251="","",CHOOSE(WEEKDAY(F251,2),"Mo","Tu","We","Th","Fr","Sa","Su"))</f>
        <v/>
      </c>
      <c r="I251" s="2" t="str">
        <f aca="false">IF(F251="","",MONTH(F251))</f>
        <v/>
      </c>
      <c r="J251" s="2" t="str">
        <f aca="false">IF(F251="","",TEXT(F251,"mmm"))</f>
        <v/>
      </c>
      <c r="K251" s="2" t="str">
        <f aca="false">IF(F251="","",DAY(F251))</f>
        <v/>
      </c>
      <c r="L251" s="46" t="str">
        <f aca="false">IF(F250="","",MIN(IF(MID($B$3,WEEKDAY(F250+1,2),1)="C",1,99),IF(MID($B$3,WEEKDAY(F250+2,2),1)="C",2,99),IF(MID($B$3,WEEKDAY(F250+3,2),1)="C",3,99),IF(MID($B$3,WEEKDAY(F250+4,2),1)="C",4,99),IF(MID($B$3,WEEKDAY(F250+5,2),1)="C",5,99),IF(MID($B$3,WEEKDAY(F250+6,2),1)="C",6,99),IF(MID($B$3,WEEKDAY(F250+7,2),1)="C",7,99)))</f>
        <v/>
      </c>
    </row>
    <row r="252" customFormat="false" ht="13.8" hidden="false" customHeight="false" outlineLevel="0" collapsed="false">
      <c r="C252" s="2" t="str">
        <f aca="false">IF(F252="","",IF(ROW()=2,INT((F252-$B$1)/7)+1,IF(INT((F252-$B$1)/7)&lt;&gt;INT((F251-$B$1)/7),INT((F252-$B$1)/7)+1,"")))</f>
        <v/>
      </c>
      <c r="D252" s="2" t="str">
        <f aca="false">IF(C252="","","W"&amp;TEXT(C252,"00"))</f>
        <v/>
      </c>
      <c r="E252" s="2" t="n">
        <f aca="false">E251+1</f>
        <v>251</v>
      </c>
      <c r="F252" s="28" t="str">
        <f aca="false">IF(L252="","",IF(F251+L252&lt;=$B$2,F251+L252,""))</f>
        <v/>
      </c>
      <c r="G252" s="1" t="str">
        <f aca="false">IF(F252="","",TEXT(F252,"ddd"))</f>
        <v/>
      </c>
      <c r="H252" s="2" t="str">
        <f aca="false">IF(F252="","",CHOOSE(WEEKDAY(F252,2),"Mo","Tu","We","Th","Fr","Sa","Su"))</f>
        <v/>
      </c>
      <c r="I252" s="2" t="str">
        <f aca="false">IF(F252="","",MONTH(F252))</f>
        <v/>
      </c>
      <c r="J252" s="2" t="str">
        <f aca="false">IF(F252="","",TEXT(F252,"mmm"))</f>
        <v/>
      </c>
      <c r="K252" s="2" t="str">
        <f aca="false">IF(F252="","",DAY(F252))</f>
        <v/>
      </c>
      <c r="L252" s="46" t="str">
        <f aca="false">IF(F251="","",MIN(IF(MID($B$3,WEEKDAY(F251+1,2),1)="C",1,99),IF(MID($B$3,WEEKDAY(F251+2,2),1)="C",2,99),IF(MID($B$3,WEEKDAY(F251+3,2),1)="C",3,99),IF(MID($B$3,WEEKDAY(F251+4,2),1)="C",4,99),IF(MID($B$3,WEEKDAY(F251+5,2),1)="C",5,99),IF(MID($B$3,WEEKDAY(F251+6,2),1)="C",6,99),IF(MID($B$3,WEEKDAY(F251+7,2),1)="C",7,99)))</f>
        <v/>
      </c>
    </row>
    <row r="253" customFormat="false" ht="13.8" hidden="false" customHeight="false" outlineLevel="0" collapsed="false">
      <c r="C253" s="2" t="str">
        <f aca="false">IF(F253="","",IF(ROW()=2,INT((F253-$B$1)/7)+1,IF(INT((F253-$B$1)/7)&lt;&gt;INT((F252-$B$1)/7),INT((F253-$B$1)/7)+1,"")))</f>
        <v/>
      </c>
      <c r="D253" s="2" t="str">
        <f aca="false">IF(C253="","","W"&amp;TEXT(C253,"00"))</f>
        <v/>
      </c>
      <c r="E253" s="2" t="n">
        <f aca="false">E252+1</f>
        <v>252</v>
      </c>
      <c r="F253" s="28" t="str">
        <f aca="false">IF(L253="","",IF(F252+L253&lt;=$B$2,F252+L253,""))</f>
        <v/>
      </c>
      <c r="G253" s="1" t="str">
        <f aca="false">IF(F253="","",TEXT(F253,"ddd"))</f>
        <v/>
      </c>
      <c r="H253" s="2" t="str">
        <f aca="false">IF(F253="","",CHOOSE(WEEKDAY(F253,2),"Mo","Tu","We","Th","Fr","Sa","Su"))</f>
        <v/>
      </c>
      <c r="I253" s="2" t="str">
        <f aca="false">IF(F253="","",MONTH(F253))</f>
        <v/>
      </c>
      <c r="J253" s="2" t="str">
        <f aca="false">IF(F253="","",TEXT(F253,"mmm"))</f>
        <v/>
      </c>
      <c r="K253" s="2" t="str">
        <f aca="false">IF(F253="","",DAY(F253))</f>
        <v/>
      </c>
      <c r="L253" s="46" t="str">
        <f aca="false">IF(F252="","",MIN(IF(MID($B$3,WEEKDAY(F252+1,2),1)="C",1,99),IF(MID($B$3,WEEKDAY(F252+2,2),1)="C",2,99),IF(MID($B$3,WEEKDAY(F252+3,2),1)="C",3,99),IF(MID($B$3,WEEKDAY(F252+4,2),1)="C",4,99),IF(MID($B$3,WEEKDAY(F252+5,2),1)="C",5,99),IF(MID($B$3,WEEKDAY(F252+6,2),1)="C",6,99),IF(MID($B$3,WEEKDAY(F252+7,2),1)="C",7,99)))</f>
        <v/>
      </c>
    </row>
    <row r="254" customFormat="false" ht="13.8" hidden="false" customHeight="false" outlineLevel="0" collapsed="false">
      <c r="C254" s="2" t="str">
        <f aca="false">IF(F254="","",IF(ROW()=2,INT((F254-$B$1)/7)+1,IF(INT((F254-$B$1)/7)&lt;&gt;INT((F253-$B$1)/7),INT((F254-$B$1)/7)+1,"")))</f>
        <v/>
      </c>
      <c r="D254" s="2" t="str">
        <f aca="false">IF(C254="","","W"&amp;TEXT(C254,"00"))</f>
        <v/>
      </c>
      <c r="E254" s="2" t="n">
        <f aca="false">E253+1</f>
        <v>253</v>
      </c>
      <c r="F254" s="28" t="str">
        <f aca="false">IF(L254="","",IF(F253+L254&lt;=$B$2,F253+L254,""))</f>
        <v/>
      </c>
      <c r="G254" s="1" t="str">
        <f aca="false">IF(F254="","",TEXT(F254,"ddd"))</f>
        <v/>
      </c>
      <c r="H254" s="2" t="str">
        <f aca="false">IF(F254="","",CHOOSE(WEEKDAY(F254,2),"Mo","Tu","We","Th","Fr","Sa","Su"))</f>
        <v/>
      </c>
      <c r="I254" s="2" t="str">
        <f aca="false">IF(F254="","",MONTH(F254))</f>
        <v/>
      </c>
      <c r="J254" s="2" t="str">
        <f aca="false">IF(F254="","",TEXT(F254,"mmm"))</f>
        <v/>
      </c>
      <c r="K254" s="2" t="str">
        <f aca="false">IF(F254="","",DAY(F254))</f>
        <v/>
      </c>
      <c r="L254" s="46" t="str">
        <f aca="false">IF(F253="","",MIN(IF(MID($B$3,WEEKDAY(F253+1,2),1)="C",1,99),IF(MID($B$3,WEEKDAY(F253+2,2),1)="C",2,99),IF(MID($B$3,WEEKDAY(F253+3,2),1)="C",3,99),IF(MID($B$3,WEEKDAY(F253+4,2),1)="C",4,99),IF(MID($B$3,WEEKDAY(F253+5,2),1)="C",5,99),IF(MID($B$3,WEEKDAY(F253+6,2),1)="C",6,99),IF(MID($B$3,WEEKDAY(F253+7,2),1)="C",7,99)))</f>
        <v/>
      </c>
    </row>
    <row r="255" customFormat="false" ht="13.8" hidden="false" customHeight="false" outlineLevel="0" collapsed="false">
      <c r="C255" s="2" t="str">
        <f aca="false">IF(F255="","",IF(ROW()=2,INT((F255-$B$1)/7)+1,IF(INT((F255-$B$1)/7)&lt;&gt;INT((F254-$B$1)/7),INT((F255-$B$1)/7)+1,"")))</f>
        <v/>
      </c>
      <c r="D255" s="2" t="str">
        <f aca="false">IF(C255="","","W"&amp;TEXT(C255,"00"))</f>
        <v/>
      </c>
      <c r="E255" s="2" t="n">
        <f aca="false">E254+1</f>
        <v>254</v>
      </c>
      <c r="F255" s="28" t="str">
        <f aca="false">IF(L255="","",IF(F254+L255&lt;=$B$2,F254+L255,""))</f>
        <v/>
      </c>
      <c r="G255" s="1" t="str">
        <f aca="false">IF(F255="","",TEXT(F255,"ddd"))</f>
        <v/>
      </c>
      <c r="H255" s="2" t="str">
        <f aca="false">IF(F255="","",CHOOSE(WEEKDAY(F255,2),"Mo","Tu","We","Th","Fr","Sa","Su"))</f>
        <v/>
      </c>
      <c r="I255" s="2" t="str">
        <f aca="false">IF(F255="","",MONTH(F255))</f>
        <v/>
      </c>
      <c r="J255" s="2" t="str">
        <f aca="false">IF(F255="","",TEXT(F255,"mmm"))</f>
        <v/>
      </c>
      <c r="K255" s="2" t="str">
        <f aca="false">IF(F255="","",DAY(F255))</f>
        <v/>
      </c>
      <c r="L255" s="46" t="str">
        <f aca="false">IF(F254="","",MIN(IF(MID($B$3,WEEKDAY(F254+1,2),1)="C",1,99),IF(MID($B$3,WEEKDAY(F254+2,2),1)="C",2,99),IF(MID($B$3,WEEKDAY(F254+3,2),1)="C",3,99),IF(MID($B$3,WEEKDAY(F254+4,2),1)="C",4,99),IF(MID($B$3,WEEKDAY(F254+5,2),1)="C",5,99),IF(MID($B$3,WEEKDAY(F254+6,2),1)="C",6,99),IF(MID($B$3,WEEKDAY(F254+7,2),1)="C",7,99)))</f>
        <v/>
      </c>
    </row>
    <row r="256" customFormat="false" ht="13.8" hidden="false" customHeight="false" outlineLevel="0" collapsed="false">
      <c r="C256" s="2" t="str">
        <f aca="false">IF(F256="","",IF(ROW()=2,INT((F256-$B$1)/7)+1,IF(INT((F256-$B$1)/7)&lt;&gt;INT((F255-$B$1)/7),INT((F256-$B$1)/7)+1,"")))</f>
        <v/>
      </c>
      <c r="D256" s="2" t="str">
        <f aca="false">IF(C256="","","W"&amp;TEXT(C256,"00"))</f>
        <v/>
      </c>
      <c r="E256" s="2" t="n">
        <f aca="false">E255+1</f>
        <v>255</v>
      </c>
      <c r="F256" s="28" t="str">
        <f aca="false">IF(L256="","",IF(F255+L256&lt;=$B$2,F255+L256,""))</f>
        <v/>
      </c>
      <c r="G256" s="1" t="str">
        <f aca="false">IF(F256="","",TEXT(F256,"ddd"))</f>
        <v/>
      </c>
      <c r="H256" s="2" t="str">
        <f aca="false">IF(F256="","",CHOOSE(WEEKDAY(F256,2),"Mo","Tu","We","Th","Fr","Sa","Su"))</f>
        <v/>
      </c>
      <c r="I256" s="2" t="str">
        <f aca="false">IF(F256="","",MONTH(F256))</f>
        <v/>
      </c>
      <c r="J256" s="2" t="str">
        <f aca="false">IF(F256="","",TEXT(F256,"mmm"))</f>
        <v/>
      </c>
      <c r="K256" s="2" t="str">
        <f aca="false">IF(F256="","",DAY(F256))</f>
        <v/>
      </c>
      <c r="L256" s="46" t="str">
        <f aca="false">IF(F255="","",MIN(IF(MID($B$3,WEEKDAY(F255+1,2),1)="C",1,99),IF(MID($B$3,WEEKDAY(F255+2,2),1)="C",2,99),IF(MID($B$3,WEEKDAY(F255+3,2),1)="C",3,99),IF(MID($B$3,WEEKDAY(F255+4,2),1)="C",4,99),IF(MID($B$3,WEEKDAY(F255+5,2),1)="C",5,99),IF(MID($B$3,WEEKDAY(F255+6,2),1)="C",6,99),IF(MID($B$3,WEEKDAY(F255+7,2),1)="C",7,99)))</f>
        <v/>
      </c>
    </row>
    <row r="257" customFormat="false" ht="13.8" hidden="false" customHeight="false" outlineLevel="0" collapsed="false">
      <c r="C257" s="2" t="str">
        <f aca="false">IF(F257="","",IF(ROW()=2,INT((F257-$B$1)/7)+1,IF(INT((F257-$B$1)/7)&lt;&gt;INT((F256-$B$1)/7),INT((F257-$B$1)/7)+1,"")))</f>
        <v/>
      </c>
      <c r="D257" s="2" t="str">
        <f aca="false">IF(C257="","","W"&amp;TEXT(C257,"00"))</f>
        <v/>
      </c>
      <c r="E257" s="2" t="n">
        <f aca="false">E256+1</f>
        <v>256</v>
      </c>
      <c r="F257" s="28" t="str">
        <f aca="false">IF(L257="","",IF(F256+L257&lt;=$B$2,F256+L257,""))</f>
        <v/>
      </c>
      <c r="G257" s="1" t="str">
        <f aca="false">IF(F257="","",TEXT(F257,"ddd"))</f>
        <v/>
      </c>
      <c r="H257" s="2" t="str">
        <f aca="false">IF(F257="","",CHOOSE(WEEKDAY(F257,2),"Mo","Tu","We","Th","Fr","Sa","Su"))</f>
        <v/>
      </c>
      <c r="I257" s="2" t="str">
        <f aca="false">IF(F257="","",MONTH(F257))</f>
        <v/>
      </c>
      <c r="J257" s="2" t="str">
        <f aca="false">IF(F257="","",TEXT(F257,"mmm"))</f>
        <v/>
      </c>
      <c r="K257" s="2" t="str">
        <f aca="false">IF(F257="","",DAY(F257))</f>
        <v/>
      </c>
      <c r="L257" s="46" t="str">
        <f aca="false">IF(F256="","",MIN(IF(MID($B$3,WEEKDAY(F256+1,2),1)="C",1,99),IF(MID($B$3,WEEKDAY(F256+2,2),1)="C",2,99),IF(MID($B$3,WEEKDAY(F256+3,2),1)="C",3,99),IF(MID($B$3,WEEKDAY(F256+4,2),1)="C",4,99),IF(MID($B$3,WEEKDAY(F256+5,2),1)="C",5,99),IF(MID($B$3,WEEKDAY(F256+6,2),1)="C",6,99),IF(MID($B$3,WEEKDAY(F256+7,2),1)="C",7,99)))</f>
        <v/>
      </c>
    </row>
    <row r="258" customFormat="false" ht="13.8" hidden="false" customHeight="false" outlineLevel="0" collapsed="false">
      <c r="C258" s="2" t="str">
        <f aca="false">IF(F258="","",IF(ROW()=2,INT((F258-$B$1)/7)+1,IF(INT((F258-$B$1)/7)&lt;&gt;INT((F257-$B$1)/7),INT((F258-$B$1)/7)+1,"")))</f>
        <v/>
      </c>
      <c r="D258" s="2" t="str">
        <f aca="false">IF(C258="","","W"&amp;TEXT(C258,"00"))</f>
        <v/>
      </c>
      <c r="E258" s="2" t="n">
        <f aca="false">E257+1</f>
        <v>257</v>
      </c>
      <c r="F258" s="28" t="str">
        <f aca="false">IF(L258="","",IF(F257+L258&lt;=$B$2,F257+L258,""))</f>
        <v/>
      </c>
      <c r="G258" s="1" t="str">
        <f aca="false">IF(F258="","",TEXT(F258,"ddd"))</f>
        <v/>
      </c>
      <c r="H258" s="2" t="str">
        <f aca="false">IF(F258="","",CHOOSE(WEEKDAY(F258,2),"Mo","Tu","We","Th","Fr","Sa","Su"))</f>
        <v/>
      </c>
      <c r="I258" s="2" t="str">
        <f aca="false">IF(F258="","",MONTH(F258))</f>
        <v/>
      </c>
      <c r="J258" s="2" t="str">
        <f aca="false">IF(F258="","",TEXT(F258,"mmm"))</f>
        <v/>
      </c>
      <c r="K258" s="2" t="str">
        <f aca="false">IF(F258="","",DAY(F258))</f>
        <v/>
      </c>
      <c r="L258" s="46" t="str">
        <f aca="false">IF(F257="","",MIN(IF(MID($B$3,WEEKDAY(F257+1,2),1)="C",1,99),IF(MID($B$3,WEEKDAY(F257+2,2),1)="C",2,99),IF(MID($B$3,WEEKDAY(F257+3,2),1)="C",3,99),IF(MID($B$3,WEEKDAY(F257+4,2),1)="C",4,99),IF(MID($B$3,WEEKDAY(F257+5,2),1)="C",5,99),IF(MID($B$3,WEEKDAY(F257+6,2),1)="C",6,99),IF(MID($B$3,WEEKDAY(F257+7,2),1)="C",7,99)))</f>
        <v/>
      </c>
    </row>
    <row r="259" customFormat="false" ht="13.8" hidden="false" customHeight="false" outlineLevel="0" collapsed="false">
      <c r="C259" s="2" t="str">
        <f aca="false">IF(F259="","",IF(ROW()=2,INT((F259-$B$1)/7)+1,IF(INT((F259-$B$1)/7)&lt;&gt;INT((F258-$B$1)/7),INT((F259-$B$1)/7)+1,"")))</f>
        <v/>
      </c>
      <c r="D259" s="2" t="str">
        <f aca="false">IF(C259="","","W"&amp;TEXT(C259,"00"))</f>
        <v/>
      </c>
      <c r="E259" s="2" t="n">
        <f aca="false">E258+1</f>
        <v>258</v>
      </c>
      <c r="F259" s="28" t="str">
        <f aca="false">IF(L259="","",IF(F258+L259&lt;=$B$2,F258+L259,""))</f>
        <v/>
      </c>
      <c r="G259" s="1" t="str">
        <f aca="false">IF(F259="","",TEXT(F259,"ddd"))</f>
        <v/>
      </c>
      <c r="H259" s="2" t="str">
        <f aca="false">IF(F259="","",CHOOSE(WEEKDAY(F259,2),"Mo","Tu","We","Th","Fr","Sa","Su"))</f>
        <v/>
      </c>
      <c r="I259" s="2" t="str">
        <f aca="false">IF(F259="","",MONTH(F259))</f>
        <v/>
      </c>
      <c r="J259" s="2" t="str">
        <f aca="false">IF(F259="","",TEXT(F259,"mmm"))</f>
        <v/>
      </c>
      <c r="K259" s="2" t="str">
        <f aca="false">IF(F259="","",DAY(F259))</f>
        <v/>
      </c>
      <c r="L259" s="46" t="str">
        <f aca="false">IF(F258="","",MIN(IF(MID($B$3,WEEKDAY(F258+1,2),1)="C",1,99),IF(MID($B$3,WEEKDAY(F258+2,2),1)="C",2,99),IF(MID($B$3,WEEKDAY(F258+3,2),1)="C",3,99),IF(MID($B$3,WEEKDAY(F258+4,2),1)="C",4,99),IF(MID($B$3,WEEKDAY(F258+5,2),1)="C",5,99),IF(MID($B$3,WEEKDAY(F258+6,2),1)="C",6,99),IF(MID($B$3,WEEKDAY(F258+7,2),1)="C",7,99)))</f>
        <v/>
      </c>
    </row>
    <row r="260" customFormat="false" ht="13.8" hidden="false" customHeight="false" outlineLevel="0" collapsed="false">
      <c r="C260" s="2" t="str">
        <f aca="false">IF(F260="","",IF(ROW()=2,INT((F260-$B$1)/7)+1,IF(INT((F260-$B$1)/7)&lt;&gt;INT((F259-$B$1)/7),INT((F260-$B$1)/7)+1,"")))</f>
        <v/>
      </c>
      <c r="D260" s="2" t="str">
        <f aca="false">IF(C260="","","W"&amp;TEXT(C260,"00"))</f>
        <v/>
      </c>
      <c r="E260" s="2" t="n">
        <f aca="false">E259+1</f>
        <v>259</v>
      </c>
      <c r="F260" s="28" t="str">
        <f aca="false">IF(L260="","",IF(F259+L260&lt;=$B$2,F259+L260,""))</f>
        <v/>
      </c>
      <c r="G260" s="1" t="str">
        <f aca="false">IF(F260="","",TEXT(F260,"ddd"))</f>
        <v/>
      </c>
      <c r="H260" s="2" t="str">
        <f aca="false">IF(F260="","",CHOOSE(WEEKDAY(F260,2),"Mo","Tu","We","Th","Fr","Sa","Su"))</f>
        <v/>
      </c>
      <c r="I260" s="2" t="str">
        <f aca="false">IF(F260="","",MONTH(F260))</f>
        <v/>
      </c>
      <c r="J260" s="2" t="str">
        <f aca="false">IF(F260="","",TEXT(F260,"mmm"))</f>
        <v/>
      </c>
      <c r="K260" s="2" t="str">
        <f aca="false">IF(F260="","",DAY(F260))</f>
        <v/>
      </c>
      <c r="L260" s="46" t="str">
        <f aca="false">IF(F259="","",MIN(IF(MID($B$3,WEEKDAY(F259+1,2),1)="C",1,99),IF(MID($B$3,WEEKDAY(F259+2,2),1)="C",2,99),IF(MID($B$3,WEEKDAY(F259+3,2),1)="C",3,99),IF(MID($B$3,WEEKDAY(F259+4,2),1)="C",4,99),IF(MID($B$3,WEEKDAY(F259+5,2),1)="C",5,99),IF(MID($B$3,WEEKDAY(F259+6,2),1)="C",6,99),IF(MID($B$3,WEEKDAY(F259+7,2),1)="C",7,99)))</f>
        <v/>
      </c>
    </row>
    <row r="261" customFormat="false" ht="13.8" hidden="false" customHeight="false" outlineLevel="0" collapsed="false">
      <c r="C261" s="2" t="str">
        <f aca="false">IF(F261="","",IF(ROW()=2,INT((F261-$B$1)/7)+1,IF(INT((F261-$B$1)/7)&lt;&gt;INT((F260-$B$1)/7),INT((F261-$B$1)/7)+1,"")))</f>
        <v/>
      </c>
      <c r="D261" s="2" t="str">
        <f aca="false">IF(C261="","","W"&amp;TEXT(C261,"00"))</f>
        <v/>
      </c>
      <c r="E261" s="2" t="n">
        <f aca="false">E260+1</f>
        <v>260</v>
      </c>
      <c r="F261" s="28" t="str">
        <f aca="false">IF(L261="","",IF(F260+L261&lt;=$B$2,F260+L261,""))</f>
        <v/>
      </c>
      <c r="G261" s="1" t="str">
        <f aca="false">IF(F261="","",TEXT(F261,"ddd"))</f>
        <v/>
      </c>
      <c r="H261" s="2" t="str">
        <f aca="false">IF(F261="","",CHOOSE(WEEKDAY(F261,2),"Mo","Tu","We","Th","Fr","Sa","Su"))</f>
        <v/>
      </c>
      <c r="I261" s="2" t="str">
        <f aca="false">IF(F261="","",MONTH(F261))</f>
        <v/>
      </c>
      <c r="J261" s="2" t="str">
        <f aca="false">IF(F261="","",TEXT(F261,"mmm"))</f>
        <v/>
      </c>
      <c r="K261" s="2" t="str">
        <f aca="false">IF(F261="","",DAY(F261))</f>
        <v/>
      </c>
      <c r="L261" s="46" t="str">
        <f aca="false">IF(F260="","",MIN(IF(MID($B$3,WEEKDAY(F260+1,2),1)="C",1,99),IF(MID($B$3,WEEKDAY(F260+2,2),1)="C",2,99),IF(MID($B$3,WEEKDAY(F260+3,2),1)="C",3,99),IF(MID($B$3,WEEKDAY(F260+4,2),1)="C",4,99),IF(MID($B$3,WEEKDAY(F260+5,2),1)="C",5,99),IF(MID($B$3,WEEKDAY(F260+6,2),1)="C",6,99),IF(MID($B$3,WEEKDAY(F260+7,2),1)="C",7,99)))</f>
        <v/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4" min="2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8" min="7" style="1" width="16"/>
    <col collapsed="false" customWidth="true" hidden="false" outlineLevel="0" max="10" min="9" style="1" width="28"/>
    <col collapsed="false" customWidth="true" hidden="false" outlineLevel="0" max="11" min="11" style="1" width="11"/>
    <col collapsed="false" customWidth="true" hidden="false" outlineLevel="0" max="12" min="12" style="1" width="23"/>
    <col collapsed="false" customWidth="true" hidden="false" outlineLevel="0" max="13" min="13" style="1" width="28"/>
    <col collapsed="false" customWidth="true" hidden="false" outlineLevel="0" max="14" min="14" style="1" width="50"/>
    <col collapsed="false" customWidth="true" hidden="false" outlineLevel="0" max="16" min="15" style="1" width="12"/>
  </cols>
  <sheetData>
    <row r="1" customFormat="false" ht="23.85" hidden="false" customHeight="false" outlineLevel="0" collapsed="false">
      <c r="A1" s="31" t="s">
        <v>85</v>
      </c>
      <c r="B1" s="31" t="s">
        <v>86</v>
      </c>
      <c r="C1" s="31" t="s">
        <v>87</v>
      </c>
      <c r="D1" s="31" t="s">
        <v>88</v>
      </c>
      <c r="E1" s="31" t="s">
        <v>89</v>
      </c>
      <c r="F1" s="31" t="s">
        <v>5</v>
      </c>
      <c r="G1" s="31" t="s">
        <v>90</v>
      </c>
      <c r="H1" s="31" t="s">
        <v>91</v>
      </c>
      <c r="I1" s="31" t="s">
        <v>92</v>
      </c>
      <c r="J1" s="31" t="s">
        <v>93</v>
      </c>
      <c r="K1" s="31" t="s">
        <v>94</v>
      </c>
      <c r="L1" s="31" t="s">
        <v>95</v>
      </c>
      <c r="M1" s="31" t="s">
        <v>96</v>
      </c>
      <c r="N1" s="31" t="s">
        <v>97</v>
      </c>
      <c r="O1" s="31" t="s">
        <v>98</v>
      </c>
      <c r="P1" s="31" t="s">
        <v>99</v>
      </c>
    </row>
    <row r="2" customFormat="false" ht="15" hidden="false" customHeight="false" outlineLevel="0" collapsed="false">
      <c r="A2" s="47" t="b">
        <f aca="false">AND(Dates!F2&lt;&gt;"",ROW()&lt;=Settings!$B$13)</f>
        <v>1</v>
      </c>
      <c r="B2" s="47" t="str">
        <f aca="false">IF(NOT(A2),"",IF(Dates!D2&lt;&gt;"",Dates!D2,IF(ROW()=2,"",B1)))</f>
        <v>W01</v>
      </c>
      <c r="C2" s="47" t="b">
        <f aca="false">AND(A2,OR(ROW()=2,B2&lt;&gt;B1))</f>
        <v>1</v>
      </c>
      <c r="D2" s="47" t="b">
        <f aca="false">AND(A2,OR(NOT(A3),B3&lt;&gt;B2))</f>
        <v>0</v>
      </c>
      <c r="E2" s="47" t="n">
        <f aca="false">IF(A2,COUNTIF($B$2:$B$261,B2),0)</f>
        <v>3</v>
      </c>
      <c r="F2" s="47" t="str">
        <f aca="false">IF(A2,Dates!J2,"")</f>
        <v>Jan</v>
      </c>
      <c r="G2" s="47" t="b">
        <f aca="false">AND(A2,OR(C2,F2&lt;&gt;F1))</f>
        <v>1</v>
      </c>
      <c r="H2" s="47" t="n">
        <f aca="false">IF(A2,COUNTIFS($B$2:$B$261,B2,$F$2:$F$261,F2),0)</f>
        <v>3</v>
      </c>
      <c r="I2" s="48" t="str">
        <f aca="false">IF(C2,"\multirow{"&amp;E2&amp;"}{*}{"&amp;B2&amp;"}","")</f>
        <v>\multirow{3}{*}{W01}</v>
      </c>
      <c r="J2" s="48" t="str">
        <f aca="false">IF(G2,IF(H2=1,F2,"\multirow{"&amp;H2&amp;"}{*}{"&amp;F2&amp;"}"),"")</f>
        <v>\multirow{3}{*}{Jan}</v>
      </c>
      <c r="K2" s="48" t="str">
        <f aca="false">IF(A2,TEXT(Dates!K2,"00"),"")</f>
        <v>25</v>
      </c>
      <c r="L2" s="48" t="str">
        <f aca="false">IF(A2,Dates!H2&amp;IF(C2,Settings!$B$2,""),"")</f>
        <v>Mo\rule{0pt}{11pt}</v>
      </c>
      <c r="M2" s="48" t="n">
        <f aca="false">IF(A2,IF(Schedule!I2="","",IF(ISNUMBER(Schedule!I2),IF(Schedule!I2&lt;10,Settings!$B$6&amp;TEXT(Schedule!I2,"#"),Schedule!I2),Schedule!I2)),"")</f>
        <v>16</v>
      </c>
      <c r="N2" s="48" t="str">
        <f aca="false">IF(A2,IF(Schedule!J2="","",Schedule!J2),"")</f>
        <v>Temperature and Heat</v>
      </c>
      <c r="O2" s="48" t="str">
        <f aca="false">IF(A2,IF(AND(Settings!$B$14="longtable",NOT(D2)),Settings!$B$15,Settings!$B$3),"")</f>
        <v>\\*</v>
      </c>
      <c r="P2" s="48" t="str">
        <f aca="false">IF(D2,Settings!$B$4,"")</f>
        <v/>
      </c>
    </row>
    <row r="3" customFormat="false" ht="15" hidden="false" customHeight="false" outlineLevel="0" collapsed="false">
      <c r="A3" s="47" t="b">
        <f aca="false">AND(Dates!F3&lt;&gt;"",ROW()&lt;=Settings!$B$13)</f>
        <v>1</v>
      </c>
      <c r="B3" s="47" t="str">
        <f aca="false">IF(NOT(A3),"",IF(Dates!D3&lt;&gt;"",Dates!D3,IF(ROW()=2,"",B2)))</f>
        <v>W01</v>
      </c>
      <c r="C3" s="47" t="b">
        <f aca="false">AND(A3,OR(ROW()=2,B3&lt;&gt;B2))</f>
        <v>0</v>
      </c>
      <c r="D3" s="47" t="b">
        <f aca="false">AND(A3,OR(NOT(A4),B4&lt;&gt;B3))</f>
        <v>0</v>
      </c>
      <c r="E3" s="47" t="n">
        <f aca="false">IF(A3,COUNTIF($B$2:$B$261,B3),0)</f>
        <v>3</v>
      </c>
      <c r="F3" s="47" t="str">
        <f aca="false">IF(A3,Dates!J3,"")</f>
        <v>Jan</v>
      </c>
      <c r="G3" s="47" t="b">
        <f aca="false">AND(A3,OR(C3,F3&lt;&gt;F2))</f>
        <v>0</v>
      </c>
      <c r="H3" s="47" t="n">
        <f aca="false">IF(A3,COUNTIFS($B$2:$B$261,B3,$F$2:$F$261,F3),0)</f>
        <v>3</v>
      </c>
      <c r="I3" s="48" t="str">
        <f aca="false">IF(C3,"\multirow{"&amp;E3&amp;"}{*}{"&amp;B3&amp;"}","")</f>
        <v/>
      </c>
      <c r="J3" s="48" t="str">
        <f aca="false">IF(G3,IF(H3=1,F3,"\multirow{"&amp;H3&amp;"}{*}{"&amp;F3&amp;"}"),"")</f>
        <v/>
      </c>
      <c r="K3" s="48" t="str">
        <f aca="false">IF(A3,TEXT(Dates!K3,"00"),"")</f>
        <v>27</v>
      </c>
      <c r="L3" s="48" t="str">
        <f aca="false">IF(A3,Dates!H3&amp;IF(C3,Settings!$B$2,""),"")</f>
        <v>We</v>
      </c>
      <c r="M3" s="48" t="n">
        <f aca="false">IF(A3,IF(Schedule!I3="","",IF(ISNUMBER(Schedule!I3),IF(Schedule!I3&lt;10,Settings!$B$6&amp;TEXT(Schedule!I3,"#"),Schedule!I3),Schedule!I3)),"")</f>
        <v>16</v>
      </c>
      <c r="N3" s="48" t="str">
        <f aca="false">IF(A3,IF(Schedule!J3="","",Schedule!J3),"")</f>
        <v>Temperature and Heat</v>
      </c>
      <c r="O3" s="48" t="str">
        <f aca="false">IF(A3,IF(AND(Settings!$B$14="longtable",NOT(D3)),Settings!$B$15,Settings!$B$3),"")</f>
        <v>\\*</v>
      </c>
      <c r="P3" s="48" t="str">
        <f aca="false">IF(D3,Settings!$B$4,"")</f>
        <v/>
      </c>
    </row>
    <row r="4" customFormat="false" ht="15" hidden="false" customHeight="false" outlineLevel="0" collapsed="false">
      <c r="A4" s="47" t="b">
        <f aca="false">AND(Dates!F4&lt;&gt;"",ROW()&lt;=Settings!$B$13)</f>
        <v>1</v>
      </c>
      <c r="B4" s="47" t="str">
        <f aca="false">IF(NOT(A4),"",IF(Dates!D4&lt;&gt;"",Dates!D4,IF(ROW()=2,"",B3)))</f>
        <v>W01</v>
      </c>
      <c r="C4" s="47" t="b">
        <f aca="false">AND(A4,OR(ROW()=2,B4&lt;&gt;B3))</f>
        <v>0</v>
      </c>
      <c r="D4" s="47" t="b">
        <f aca="false">AND(A4,OR(NOT(A5),B5&lt;&gt;B4))</f>
        <v>1</v>
      </c>
      <c r="E4" s="47" t="n">
        <f aca="false">IF(A4,COUNTIF($B$2:$B$261,B4),0)</f>
        <v>3</v>
      </c>
      <c r="F4" s="47" t="str">
        <f aca="false">IF(A4,Dates!J4,"")</f>
        <v>Jan</v>
      </c>
      <c r="G4" s="47" t="b">
        <f aca="false">AND(A4,OR(C4,F4&lt;&gt;F3))</f>
        <v>0</v>
      </c>
      <c r="H4" s="47" t="n">
        <f aca="false">IF(A4,COUNTIFS($B$2:$B$261,B4,$F$2:$F$261,F4),0)</f>
        <v>3</v>
      </c>
      <c r="I4" s="48" t="str">
        <f aca="false">IF(C4,"\multirow{"&amp;E4&amp;"}{*}{"&amp;B4&amp;"}","")</f>
        <v/>
      </c>
      <c r="J4" s="48" t="str">
        <f aca="false">IF(G4,IF(H4=1,F4,"\multirow{"&amp;H4&amp;"}{*}{"&amp;F4&amp;"}"),"")</f>
        <v/>
      </c>
      <c r="K4" s="48" t="str">
        <f aca="false">IF(A4,TEXT(Dates!K4,"00"),"")</f>
        <v>29</v>
      </c>
      <c r="L4" s="48" t="str">
        <f aca="false">IF(A4,Dates!H4&amp;IF(C4,Settings!$B$2,""),"")</f>
        <v>Fr</v>
      </c>
      <c r="M4" s="48" t="n">
        <f aca="false">IF(A4,IF(Schedule!I4="","",IF(ISNUMBER(Schedule!I4),IF(Schedule!I4&lt;10,Settings!$B$6&amp;TEXT(Schedule!I4,"#"),Schedule!I4),Schedule!I4)),"")</f>
        <v>17</v>
      </c>
      <c r="N4" s="48" t="str">
        <f aca="false">IF(A4,IF(Schedule!J4="","",Schedule!J4),"")</f>
        <v>The Thermal Behavior of Matter</v>
      </c>
      <c r="O4" s="48" t="str">
        <f aca="false">IF(A4,IF(AND(Settings!$B$14="longtable",NOT(D4)),Settings!$B$15,Settings!$B$3),"")</f>
        <v>\\</v>
      </c>
      <c r="P4" s="48" t="str">
        <f aca="false">IF(D4,Settings!$B$4,"")</f>
        <v>\hline</v>
      </c>
    </row>
    <row r="5" customFormat="false" ht="15" hidden="false" customHeight="false" outlineLevel="0" collapsed="false">
      <c r="A5" s="47" t="b">
        <f aca="false">AND(Dates!F5&lt;&gt;"",ROW()&lt;=Settings!$B$13)</f>
        <v>1</v>
      </c>
      <c r="B5" s="47" t="str">
        <f aca="false">IF(NOT(A5),"",IF(Dates!D5&lt;&gt;"",Dates!D5,IF(ROW()=2,"",B4)))</f>
        <v>W02</v>
      </c>
      <c r="C5" s="47" t="b">
        <f aca="false">AND(A5,OR(ROW()=2,B5&lt;&gt;B4))</f>
        <v>1</v>
      </c>
      <c r="D5" s="47" t="b">
        <f aca="false">AND(A5,OR(NOT(A6),B6&lt;&gt;B5))</f>
        <v>0</v>
      </c>
      <c r="E5" s="47" t="n">
        <f aca="false">IF(A5,COUNTIF($B$2:$B$261,B5),0)</f>
        <v>3</v>
      </c>
      <c r="F5" s="47" t="str">
        <f aca="false">IF(A5,Dates!J5,"")</f>
        <v>Feb</v>
      </c>
      <c r="G5" s="47" t="b">
        <f aca="false">AND(A5,OR(C5,F5&lt;&gt;F4))</f>
        <v>1</v>
      </c>
      <c r="H5" s="47" t="n">
        <f aca="false">IF(A5,COUNTIFS($B$2:$B$261,B5,$F$2:$F$261,F5),0)</f>
        <v>3</v>
      </c>
      <c r="I5" s="48" t="str">
        <f aca="false">IF(C5,"\multirow{"&amp;E5&amp;"}{*}{"&amp;B5&amp;"}","")</f>
        <v>\multirow{3}{*}{W02}</v>
      </c>
      <c r="J5" s="48" t="str">
        <f aca="false">IF(G5,IF(H5=1,F5,"\multirow{"&amp;H5&amp;"}{*}{"&amp;F5&amp;"}"),"")</f>
        <v>\multirow{3}{*}{Feb}</v>
      </c>
      <c r="K5" s="48" t="str">
        <f aca="false">IF(A5,TEXT(Dates!K5,"00"),"")</f>
        <v>01</v>
      </c>
      <c r="L5" s="48" t="str">
        <f aca="false">IF(A5,Dates!H5&amp;IF(C5,Settings!$B$2,""),"")</f>
        <v>Mo\rule{0pt}{11pt}</v>
      </c>
      <c r="M5" s="48" t="n">
        <f aca="false">IF(A5,IF(Schedule!I5="","",IF(ISNUMBER(Schedule!I5),IF(Schedule!I5&lt;10,Settings!$B$6&amp;TEXT(Schedule!I5,"#"),Schedule!I5),Schedule!I5)),"")</f>
        <v>17</v>
      </c>
      <c r="N5" s="48" t="str">
        <f aca="false">IF(A5,IF(Schedule!J5="","",Schedule!J5),"")</f>
        <v>The Thermal Behavior of Matter</v>
      </c>
      <c r="O5" s="48" t="str">
        <f aca="false">IF(A5,IF(AND(Settings!$B$14="longtable",NOT(D5)),Settings!$B$15,Settings!$B$3),"")</f>
        <v>\\*</v>
      </c>
      <c r="P5" s="48" t="str">
        <f aca="false">IF(D5,Settings!$B$4,"")</f>
        <v/>
      </c>
    </row>
    <row r="6" customFormat="false" ht="15" hidden="false" customHeight="false" outlineLevel="0" collapsed="false">
      <c r="A6" s="47" t="b">
        <f aca="false">AND(Dates!F6&lt;&gt;"",ROW()&lt;=Settings!$B$13)</f>
        <v>1</v>
      </c>
      <c r="B6" s="47" t="str">
        <f aca="false">IF(NOT(A6),"",IF(Dates!D6&lt;&gt;"",Dates!D6,IF(ROW()=2,"",B5)))</f>
        <v>W02</v>
      </c>
      <c r="C6" s="47" t="b">
        <f aca="false">AND(A6,OR(ROW()=2,B6&lt;&gt;B5))</f>
        <v>0</v>
      </c>
      <c r="D6" s="47" t="b">
        <f aca="false">AND(A6,OR(NOT(A7),B7&lt;&gt;B6))</f>
        <v>0</v>
      </c>
      <c r="E6" s="47" t="n">
        <f aca="false">IF(A6,COUNTIF($B$2:$B$261,B6),0)</f>
        <v>3</v>
      </c>
      <c r="F6" s="47" t="str">
        <f aca="false">IF(A6,Dates!J6,"")</f>
        <v>Feb</v>
      </c>
      <c r="G6" s="47" t="b">
        <f aca="false">AND(A6,OR(C6,F6&lt;&gt;F5))</f>
        <v>0</v>
      </c>
      <c r="H6" s="47" t="n">
        <f aca="false">IF(A6,COUNTIFS($B$2:$B$261,B6,$F$2:$F$261,F6),0)</f>
        <v>3</v>
      </c>
      <c r="I6" s="48" t="str">
        <f aca="false">IF(C6,"\multirow{"&amp;E6&amp;"}{*}{"&amp;B6&amp;"}","")</f>
        <v/>
      </c>
      <c r="J6" s="48" t="str">
        <f aca="false">IF(G6,IF(H6=1,F6,"\multirow{"&amp;H6&amp;"}{*}{"&amp;F6&amp;"}"),"")</f>
        <v/>
      </c>
      <c r="K6" s="48" t="str">
        <f aca="false">IF(A6,TEXT(Dates!K6,"00"),"")</f>
        <v>03</v>
      </c>
      <c r="L6" s="48" t="str">
        <f aca="false">IF(A6,Dates!H6&amp;IF(C6,Settings!$B$2,""),"")</f>
        <v>We</v>
      </c>
      <c r="M6" s="48" t="n">
        <f aca="false">IF(A6,IF(Schedule!I6="","",IF(ISNUMBER(Schedule!I6),IF(Schedule!I6&lt;10,Settings!$B$6&amp;TEXT(Schedule!I6,"#"),Schedule!I6),Schedule!I6)),"")</f>
        <v>18</v>
      </c>
      <c r="N6" s="48" t="str">
        <f aca="false">IF(A6,IF(Schedule!J6="","",Schedule!J6),"")</f>
        <v>Heat, Work, and the First Law of Thermodynamics</v>
      </c>
      <c r="O6" s="48" t="str">
        <f aca="false">IF(A6,IF(AND(Settings!$B$14="longtable",NOT(D6)),Settings!$B$15,Settings!$B$3),"")</f>
        <v>\\*</v>
      </c>
      <c r="P6" s="48" t="str">
        <f aca="false">IF(D6,Settings!$B$4,"")</f>
        <v/>
      </c>
    </row>
    <row r="7" customFormat="false" ht="15" hidden="false" customHeight="false" outlineLevel="0" collapsed="false">
      <c r="A7" s="47" t="b">
        <f aca="false">AND(Dates!F7&lt;&gt;"",ROW()&lt;=Settings!$B$13)</f>
        <v>1</v>
      </c>
      <c r="B7" s="47" t="str">
        <f aca="false">IF(NOT(A7),"",IF(Dates!D7&lt;&gt;"",Dates!D7,IF(ROW()=2,"",B6)))</f>
        <v>W02</v>
      </c>
      <c r="C7" s="47" t="b">
        <f aca="false">AND(A7,OR(ROW()=2,B7&lt;&gt;B6))</f>
        <v>0</v>
      </c>
      <c r="D7" s="47" t="b">
        <f aca="false">AND(A7,OR(NOT(A8),B8&lt;&gt;B7))</f>
        <v>1</v>
      </c>
      <c r="E7" s="47" t="n">
        <f aca="false">IF(A7,COUNTIF($B$2:$B$261,B7),0)</f>
        <v>3</v>
      </c>
      <c r="F7" s="47" t="str">
        <f aca="false">IF(A7,Dates!J7,"")</f>
        <v>Feb</v>
      </c>
      <c r="G7" s="47" t="b">
        <f aca="false">AND(A7,OR(C7,F7&lt;&gt;F6))</f>
        <v>0</v>
      </c>
      <c r="H7" s="47" t="n">
        <f aca="false">IF(A7,COUNTIFS($B$2:$B$261,B7,$F$2:$F$261,F7),0)</f>
        <v>3</v>
      </c>
      <c r="I7" s="48" t="str">
        <f aca="false">IF(C7,"\multirow{"&amp;E7&amp;"}{*}{"&amp;B7&amp;"}","")</f>
        <v/>
      </c>
      <c r="J7" s="48" t="str">
        <f aca="false">IF(G7,IF(H7=1,F7,"\multirow{"&amp;H7&amp;"}{*}{"&amp;F7&amp;"}"),"")</f>
        <v/>
      </c>
      <c r="K7" s="48" t="str">
        <f aca="false">IF(A7,TEXT(Dates!K7,"00"),"")</f>
        <v>05</v>
      </c>
      <c r="L7" s="48" t="str">
        <f aca="false">IF(A7,Dates!H7&amp;IF(C7,Settings!$B$2,""),"")</f>
        <v>Fr</v>
      </c>
      <c r="M7" s="48" t="n">
        <f aca="false">IF(A7,IF(Schedule!I7="","",IF(ISNUMBER(Schedule!I7),IF(Schedule!I7&lt;10,Settings!$B$6&amp;TEXT(Schedule!I7,"#"),Schedule!I7),Schedule!I7)),"")</f>
        <v>18</v>
      </c>
      <c r="N7" s="48" t="str">
        <f aca="false">IF(A7,IF(Schedule!J7="","",Schedule!J7),"")</f>
        <v>Heat, Work, and the First Law of Thermodynamics</v>
      </c>
      <c r="O7" s="48" t="str">
        <f aca="false">IF(A7,IF(AND(Settings!$B$14="longtable",NOT(D7)),Settings!$B$15,Settings!$B$3),"")</f>
        <v>\\</v>
      </c>
      <c r="P7" s="48" t="str">
        <f aca="false">IF(D7,Settings!$B$4,"")</f>
        <v>\hline</v>
      </c>
    </row>
    <row r="8" customFormat="false" ht="15" hidden="false" customHeight="false" outlineLevel="0" collapsed="false">
      <c r="A8" s="47" t="b">
        <f aca="false">AND(Dates!F8&lt;&gt;"",ROW()&lt;=Settings!$B$13)</f>
        <v>1</v>
      </c>
      <c r="B8" s="47" t="str">
        <f aca="false">IF(NOT(A8),"",IF(Dates!D8&lt;&gt;"",Dates!D8,IF(ROW()=2,"",B7)))</f>
        <v>W03</v>
      </c>
      <c r="C8" s="47" t="b">
        <f aca="false">AND(A8,OR(ROW()=2,B8&lt;&gt;B7))</f>
        <v>1</v>
      </c>
      <c r="D8" s="47" t="b">
        <f aca="false">AND(A8,OR(NOT(A9),B9&lt;&gt;B8))</f>
        <v>0</v>
      </c>
      <c r="E8" s="47" t="n">
        <f aca="false">IF(A8,COUNTIF($B$2:$B$261,B8),0)</f>
        <v>3</v>
      </c>
      <c r="F8" s="47" t="str">
        <f aca="false">IF(A8,Dates!J8,"")</f>
        <v>Feb</v>
      </c>
      <c r="G8" s="47" t="b">
        <f aca="false">AND(A8,OR(C8,F8&lt;&gt;F7))</f>
        <v>1</v>
      </c>
      <c r="H8" s="47" t="n">
        <f aca="false">IF(A8,COUNTIFS($B$2:$B$261,B8,$F$2:$F$261,F8),0)</f>
        <v>3</v>
      </c>
      <c r="I8" s="48" t="str">
        <f aca="false">IF(C8,"\multirow{"&amp;E8&amp;"}{*}{"&amp;B8&amp;"}","")</f>
        <v>\multirow{3}{*}{W03}</v>
      </c>
      <c r="J8" s="48" t="str">
        <f aca="false">IF(G8,IF(H8=1,F8,"\multirow{"&amp;H8&amp;"}{*}{"&amp;F8&amp;"}"),"")</f>
        <v>\multirow{3}{*}{Feb}</v>
      </c>
      <c r="K8" s="48" t="str">
        <f aca="false">IF(A8,TEXT(Dates!K8,"00"),"")</f>
        <v>08</v>
      </c>
      <c r="L8" s="48" t="str">
        <f aca="false">IF(A8,Dates!H8&amp;IF(C8,Settings!$B$2,""),"")</f>
        <v>Mo\rule{0pt}{11pt}</v>
      </c>
      <c r="M8" s="48" t="n">
        <f aca="false">IF(A8,IF(Schedule!I8="","",IF(ISNUMBER(Schedule!I8),IF(Schedule!I8&lt;10,Settings!$B$6&amp;TEXT(Schedule!I8,"#"),Schedule!I8),Schedule!I8)),"")</f>
        <v>19</v>
      </c>
      <c r="N8" s="48" t="str">
        <f aca="false">IF(A8,IF(Schedule!J8="","",Schedule!J8),"")</f>
        <v>Spring Vacation</v>
      </c>
      <c r="O8" s="48" t="str">
        <f aca="false">IF(A8,IF(AND(Settings!$B$14="longtable",NOT(D8)),Settings!$B$15,Settings!$B$3),"")</f>
        <v>\\*</v>
      </c>
      <c r="P8" s="48" t="str">
        <f aca="false">IF(D8,Settings!$B$4,"")</f>
        <v/>
      </c>
    </row>
    <row r="9" customFormat="false" ht="15" hidden="false" customHeight="false" outlineLevel="0" collapsed="false">
      <c r="A9" s="47" t="b">
        <f aca="false">AND(Dates!F9&lt;&gt;"",ROW()&lt;=Settings!$B$13)</f>
        <v>1</v>
      </c>
      <c r="B9" s="47" t="str">
        <f aca="false">IF(NOT(A9),"",IF(Dates!D9&lt;&gt;"",Dates!D9,IF(ROW()=2,"",B8)))</f>
        <v>W03</v>
      </c>
      <c r="C9" s="47" t="b">
        <f aca="false">AND(A9,OR(ROW()=2,B9&lt;&gt;B8))</f>
        <v>0</v>
      </c>
      <c r="D9" s="47" t="b">
        <f aca="false">AND(A9,OR(NOT(A10),B10&lt;&gt;B9))</f>
        <v>0</v>
      </c>
      <c r="E9" s="47" t="n">
        <f aca="false">IF(A9,COUNTIF($B$2:$B$261,B9),0)</f>
        <v>3</v>
      </c>
      <c r="F9" s="47" t="str">
        <f aca="false">IF(A9,Dates!J9,"")</f>
        <v>Feb</v>
      </c>
      <c r="G9" s="47" t="b">
        <f aca="false">AND(A9,OR(C9,F9&lt;&gt;F8))</f>
        <v>0</v>
      </c>
      <c r="H9" s="47" t="n">
        <f aca="false">IF(A9,COUNTIFS($B$2:$B$261,B9,$F$2:$F$261,F9),0)</f>
        <v>3</v>
      </c>
      <c r="I9" s="48" t="str">
        <f aca="false">IF(C9,"\multirow{"&amp;E9&amp;"}{*}{"&amp;B9&amp;"}","")</f>
        <v/>
      </c>
      <c r="J9" s="48" t="str">
        <f aca="false">IF(G9,IF(H9=1,F9,"\multirow{"&amp;H9&amp;"}{*}{"&amp;F9&amp;"}"),"")</f>
        <v/>
      </c>
      <c r="K9" s="48" t="str">
        <f aca="false">IF(A9,TEXT(Dates!K9,"00"),"")</f>
        <v>10</v>
      </c>
      <c r="L9" s="48" t="str">
        <f aca="false">IF(A9,Dates!H9&amp;IF(C9,Settings!$B$2,""),"")</f>
        <v>We</v>
      </c>
      <c r="M9" s="48" t="n">
        <f aca="false">IF(A9,IF(Schedule!I9="","",IF(ISNUMBER(Schedule!I9),IF(Schedule!I9&lt;10,Settings!$B$6&amp;TEXT(Schedule!I9,"#"),Schedule!I9),Schedule!I9)),"")</f>
        <v>19</v>
      </c>
      <c r="N9" s="48" t="str">
        <f aca="false">IF(A9,IF(Schedule!J9="","",Schedule!J9),"")</f>
        <v>The Second Law of Thermodynamics  </v>
      </c>
      <c r="O9" s="48" t="str">
        <f aca="false">IF(A9,IF(AND(Settings!$B$14="longtable",NOT(D9)),Settings!$B$15,Settings!$B$3),"")</f>
        <v>\\*</v>
      </c>
      <c r="P9" s="48" t="str">
        <f aca="false">IF(D9,Settings!$B$4,"")</f>
        <v/>
      </c>
    </row>
    <row r="10" customFormat="false" ht="15" hidden="false" customHeight="false" outlineLevel="0" collapsed="false">
      <c r="A10" s="47" t="b">
        <f aca="false">AND(Dates!F10&lt;&gt;"",ROW()&lt;=Settings!$B$13)</f>
        <v>1</v>
      </c>
      <c r="B10" s="47" t="str">
        <f aca="false">IF(NOT(A10),"",IF(Dates!D10&lt;&gt;"",Dates!D10,IF(ROW()=2,"",B9)))</f>
        <v>W03</v>
      </c>
      <c r="C10" s="47" t="b">
        <f aca="false">AND(A10,OR(ROW()=2,B10&lt;&gt;B9))</f>
        <v>0</v>
      </c>
      <c r="D10" s="47" t="b">
        <f aca="false">AND(A10,OR(NOT(A11),B11&lt;&gt;B10))</f>
        <v>1</v>
      </c>
      <c r="E10" s="47" t="n">
        <f aca="false">IF(A10,COUNTIF($B$2:$B$261,B10),0)</f>
        <v>3</v>
      </c>
      <c r="F10" s="47" t="str">
        <f aca="false">IF(A10,Dates!J10,"")</f>
        <v>Feb</v>
      </c>
      <c r="G10" s="47" t="b">
        <f aca="false">AND(A10,OR(C10,F10&lt;&gt;F9))</f>
        <v>0</v>
      </c>
      <c r="H10" s="47" t="n">
        <f aca="false">IF(A10,COUNTIFS($B$2:$B$261,B10,$F$2:$F$261,F10),0)</f>
        <v>3</v>
      </c>
      <c r="I10" s="48" t="str">
        <f aca="false">IF(C10,"\multirow{"&amp;E10&amp;"}{*}{"&amp;B10&amp;"}","")</f>
        <v/>
      </c>
      <c r="J10" s="48" t="str">
        <f aca="false">IF(G10,IF(H10=1,F10,"\multirow{"&amp;H10&amp;"}{*}{"&amp;F10&amp;"}"),"")</f>
        <v/>
      </c>
      <c r="K10" s="48" t="str">
        <f aca="false">IF(A10,TEXT(Dates!K10,"00"),"")</f>
        <v>12</v>
      </c>
      <c r="L10" s="48" t="str">
        <f aca="false">IF(A10,Dates!H10&amp;IF(C10,Settings!$B$2,""),"")</f>
        <v>Fr</v>
      </c>
      <c r="M10" s="48" t="n">
        <f aca="false">IF(A10,IF(Schedule!I10="","",IF(ISNUMBER(Schedule!I10),IF(Schedule!I10&lt;10,Settings!$B$6&amp;TEXT(Schedule!I10,"#"),Schedule!I10),Schedule!I10)),"")</f>
        <v>19</v>
      </c>
      <c r="N10" s="48" t="str">
        <f aca="false">IF(A10,IF(Schedule!J10="","",Schedule!J10),"")</f>
        <v>The Second Law of Thermodynamics  </v>
      </c>
      <c r="O10" s="48" t="str">
        <f aca="false">IF(A10,IF(AND(Settings!$B$14="longtable",NOT(D10)),Settings!$B$15,Settings!$B$3),"")</f>
        <v>\\</v>
      </c>
      <c r="P10" s="48" t="str">
        <f aca="false">IF(D10,Settings!$B$4,"")</f>
        <v>\hline</v>
      </c>
    </row>
    <row r="11" customFormat="false" ht="15" hidden="false" customHeight="false" outlineLevel="0" collapsed="false">
      <c r="A11" s="47" t="b">
        <f aca="false">AND(Dates!F11&lt;&gt;"",ROW()&lt;=Settings!$B$13)</f>
        <v>1</v>
      </c>
      <c r="B11" s="47" t="str">
        <f aca="false">IF(NOT(A11),"",IF(Dates!D11&lt;&gt;"",Dates!D11,IF(ROW()=2,"",B10)))</f>
        <v>W04</v>
      </c>
      <c r="C11" s="47" t="b">
        <f aca="false">AND(A11,OR(ROW()=2,B11&lt;&gt;B10))</f>
        <v>1</v>
      </c>
      <c r="D11" s="47" t="b">
        <f aca="false">AND(A11,OR(NOT(A12),B12&lt;&gt;B11))</f>
        <v>0</v>
      </c>
      <c r="E11" s="47" t="n">
        <f aca="false">IF(A11,COUNTIF($B$2:$B$261,B11),0)</f>
        <v>3</v>
      </c>
      <c r="F11" s="47" t="str">
        <f aca="false">IF(A11,Dates!J11,"")</f>
        <v>Feb</v>
      </c>
      <c r="G11" s="47" t="b">
        <f aca="false">AND(A11,OR(C11,F11&lt;&gt;F10))</f>
        <v>1</v>
      </c>
      <c r="H11" s="47" t="n">
        <f aca="false">IF(A11,COUNTIFS($B$2:$B$261,B11,$F$2:$F$261,F11),0)</f>
        <v>3</v>
      </c>
      <c r="I11" s="48" t="str">
        <f aca="false">IF(C11,"\multirow{"&amp;E11&amp;"}{*}{"&amp;B11&amp;"}","")</f>
        <v>\multirow{3}{*}{W04}</v>
      </c>
      <c r="J11" s="48" t="str">
        <f aca="false">IF(G11,IF(H11=1,F11,"\multirow{"&amp;H11&amp;"}{*}{"&amp;F11&amp;"}"),"")</f>
        <v>\multirow{3}{*}{Feb}</v>
      </c>
      <c r="K11" s="48" t="str">
        <f aca="false">IF(A11,TEXT(Dates!K11,"00"),"")</f>
        <v>15</v>
      </c>
      <c r="L11" s="48" t="str">
        <f aca="false">IF(A11,Dates!H11&amp;IF(C11,Settings!$B$2,""),"")</f>
        <v>Mo\rule{0pt}{11pt}</v>
      </c>
      <c r="M11" s="48" t="str">
        <f aca="false">IF(A11,IF(Schedule!I11="","",IF(ISNUMBER(Schedule!I11),IF(Schedule!I11&lt;10,Settings!$B$6&amp;TEXT(Schedule!I11,"#"),Schedule!I11),Schedule!I11)),"")</f>
        <v>No class</v>
      </c>
      <c r="N11" s="48" t="str">
        <f aca="false">IF(A11,IF(Schedule!J11="","",Schedule!J11),"")</f>
        <v>President's Day</v>
      </c>
      <c r="O11" s="48" t="str">
        <f aca="false">IF(A11,IF(AND(Settings!$B$14="longtable",NOT(D11)),Settings!$B$15,Settings!$B$3),"")</f>
        <v>\\*</v>
      </c>
      <c r="P11" s="48" t="str">
        <f aca="false">IF(D11,Settings!$B$4,"")</f>
        <v/>
      </c>
    </row>
    <row r="12" customFormat="false" ht="15" hidden="false" customHeight="false" outlineLevel="0" collapsed="false">
      <c r="A12" s="47" t="b">
        <f aca="false">AND(Dates!F12&lt;&gt;"",ROW()&lt;=Settings!$B$13)</f>
        <v>1</v>
      </c>
      <c r="B12" s="47" t="str">
        <f aca="false">IF(NOT(A12),"",IF(Dates!D12&lt;&gt;"",Dates!D12,IF(ROW()=2,"",B11)))</f>
        <v>W04</v>
      </c>
      <c r="C12" s="47" t="b">
        <f aca="false">AND(A12,OR(ROW()=2,B12&lt;&gt;B11))</f>
        <v>0</v>
      </c>
      <c r="D12" s="47" t="b">
        <f aca="false">AND(A12,OR(NOT(A13),B13&lt;&gt;B12))</f>
        <v>0</v>
      </c>
      <c r="E12" s="47" t="n">
        <f aca="false">IF(A12,COUNTIF($B$2:$B$261,B12),0)</f>
        <v>3</v>
      </c>
      <c r="F12" s="47" t="str">
        <f aca="false">IF(A12,Dates!J12,"")</f>
        <v>Feb</v>
      </c>
      <c r="G12" s="47" t="b">
        <f aca="false">AND(A12,OR(C12,F12&lt;&gt;F11))</f>
        <v>0</v>
      </c>
      <c r="H12" s="47" t="n">
        <f aca="false">IF(A12,COUNTIFS($B$2:$B$261,B12,$F$2:$F$261,F12),0)</f>
        <v>3</v>
      </c>
      <c r="I12" s="48" t="str">
        <f aca="false">IF(C12,"\multirow{"&amp;E12&amp;"}{*}{"&amp;B12&amp;"}","")</f>
        <v/>
      </c>
      <c r="J12" s="48" t="str">
        <f aca="false">IF(G12,IF(H12=1,F12,"\multirow{"&amp;H12&amp;"}{*}{"&amp;F12&amp;"}"),"")</f>
        <v/>
      </c>
      <c r="K12" s="48" t="str">
        <f aca="false">IF(A12,TEXT(Dates!K12,"00"),"")</f>
        <v>17</v>
      </c>
      <c r="L12" s="48" t="str">
        <f aca="false">IF(A12,Dates!H12&amp;IF(C12,Settings!$B$2,""),"")</f>
        <v>We</v>
      </c>
      <c r="M12" s="48" t="n">
        <f aca="false">IF(A12,IF(Schedule!I12="","",IF(ISNUMBER(Schedule!I12),IF(Schedule!I12&lt;10,Settings!$B$6&amp;TEXT(Schedule!I12,"#"),Schedule!I12),Schedule!I12)),"")</f>
        <v>20</v>
      </c>
      <c r="N12" s="48" t="str">
        <f aca="false">IF(A12,IF(Schedule!J12="","",Schedule!J12),"")</f>
        <v>Electric Charge, Force, and Field</v>
      </c>
      <c r="O12" s="48" t="str">
        <f aca="false">IF(A12,IF(AND(Settings!$B$14="longtable",NOT(D12)),Settings!$B$15,Settings!$B$3),"")</f>
        <v>\\*</v>
      </c>
      <c r="P12" s="48" t="str">
        <f aca="false">IF(D12,Settings!$B$4,"")</f>
        <v/>
      </c>
    </row>
    <row r="13" customFormat="false" ht="15" hidden="false" customHeight="false" outlineLevel="0" collapsed="false">
      <c r="A13" s="47" t="b">
        <f aca="false">AND(Dates!F13&lt;&gt;"",ROW()&lt;=Settings!$B$13)</f>
        <v>1</v>
      </c>
      <c r="B13" s="47" t="str">
        <f aca="false">IF(NOT(A13),"",IF(Dates!D13&lt;&gt;"",Dates!D13,IF(ROW()=2,"",B12)))</f>
        <v>W04</v>
      </c>
      <c r="C13" s="47" t="b">
        <f aca="false">AND(A13,OR(ROW()=2,B13&lt;&gt;B12))</f>
        <v>0</v>
      </c>
      <c r="D13" s="47" t="b">
        <f aca="false">AND(A13,OR(NOT(A14),B14&lt;&gt;B13))</f>
        <v>1</v>
      </c>
      <c r="E13" s="47" t="n">
        <f aca="false">IF(A13,COUNTIF($B$2:$B$261,B13),0)</f>
        <v>3</v>
      </c>
      <c r="F13" s="47" t="str">
        <f aca="false">IF(A13,Dates!J13,"")</f>
        <v>Feb</v>
      </c>
      <c r="G13" s="47" t="b">
        <f aca="false">AND(A13,OR(C13,F13&lt;&gt;F12))</f>
        <v>0</v>
      </c>
      <c r="H13" s="47" t="n">
        <f aca="false">IF(A13,COUNTIFS($B$2:$B$261,B13,$F$2:$F$261,F13),0)</f>
        <v>3</v>
      </c>
      <c r="I13" s="48" t="str">
        <f aca="false">IF(C13,"\multirow{"&amp;E13&amp;"}{*}{"&amp;B13&amp;"}","")</f>
        <v/>
      </c>
      <c r="J13" s="48" t="str">
        <f aca="false">IF(G13,IF(H13=1,F13,"\multirow{"&amp;H13&amp;"}{*}{"&amp;F13&amp;"}"),"")</f>
        <v/>
      </c>
      <c r="K13" s="48" t="str">
        <f aca="false">IF(A13,TEXT(Dates!K13,"00"),"")</f>
        <v>19</v>
      </c>
      <c r="L13" s="48" t="str">
        <f aca="false">IF(A13,Dates!H13&amp;IF(C13,Settings!$B$2,""),"")</f>
        <v>Fr</v>
      </c>
      <c r="M13" s="48" t="n">
        <f aca="false">IF(A13,IF(Schedule!I13="","",IF(ISNUMBER(Schedule!I13),IF(Schedule!I13&lt;10,Settings!$B$6&amp;TEXT(Schedule!I13,"#"),Schedule!I13),Schedule!I13)),"")</f>
        <v>20</v>
      </c>
      <c r="N13" s="48" t="str">
        <f aca="false">IF(A13,IF(Schedule!J13="","",Schedule!J13),"")</f>
        <v>Electric Charge, Force, and Field</v>
      </c>
      <c r="O13" s="48" t="str">
        <f aca="false">IF(A13,IF(AND(Settings!$B$14="longtable",NOT(D13)),Settings!$B$15,Settings!$B$3),"")</f>
        <v>\\</v>
      </c>
      <c r="P13" s="48" t="str">
        <f aca="false">IF(D13,Settings!$B$4,"")</f>
        <v>\hline</v>
      </c>
    </row>
    <row r="14" customFormat="false" ht="15" hidden="false" customHeight="false" outlineLevel="0" collapsed="false">
      <c r="A14" s="47" t="b">
        <f aca="false">AND(Dates!F14&lt;&gt;"",ROW()&lt;=Settings!$B$13)</f>
        <v>1</v>
      </c>
      <c r="B14" s="47" t="str">
        <f aca="false">IF(NOT(A14),"",IF(Dates!D14&lt;&gt;"",Dates!D14,IF(ROW()=2,"",B13)))</f>
        <v>W05</v>
      </c>
      <c r="C14" s="47" t="b">
        <f aca="false">AND(A14,OR(ROW()=2,B14&lt;&gt;B13))</f>
        <v>1</v>
      </c>
      <c r="D14" s="47" t="b">
        <f aca="false">AND(A14,OR(NOT(A15),B15&lt;&gt;B14))</f>
        <v>0</v>
      </c>
      <c r="E14" s="47" t="n">
        <f aca="false">IF(A14,COUNTIF($B$2:$B$261,B14),0)</f>
        <v>3</v>
      </c>
      <c r="F14" s="47" t="str">
        <f aca="false">IF(A14,Dates!J14,"")</f>
        <v>Feb</v>
      </c>
      <c r="G14" s="47" t="b">
        <f aca="false">AND(A14,OR(C14,F14&lt;&gt;F13))</f>
        <v>1</v>
      </c>
      <c r="H14" s="47" t="n">
        <f aca="false">IF(A14,COUNTIFS($B$2:$B$261,B14,$F$2:$F$261,F14),0)</f>
        <v>3</v>
      </c>
      <c r="I14" s="48" t="str">
        <f aca="false">IF(C14,"\multirow{"&amp;E14&amp;"}{*}{"&amp;B14&amp;"}","")</f>
        <v>\multirow{3}{*}{W05}</v>
      </c>
      <c r="J14" s="48" t="str">
        <f aca="false">IF(G14,IF(H14=1,F14,"\multirow{"&amp;H14&amp;"}{*}{"&amp;F14&amp;"}"),"")</f>
        <v>\multirow{3}{*}{Feb}</v>
      </c>
      <c r="K14" s="48" t="str">
        <f aca="false">IF(A14,TEXT(Dates!K14,"00"),"")</f>
        <v>22</v>
      </c>
      <c r="L14" s="48" t="str">
        <f aca="false">IF(A14,Dates!H14&amp;IF(C14,Settings!$B$2,""),"")</f>
        <v>Mo\rule{0pt}{11pt}</v>
      </c>
      <c r="M14" s="48" t="n">
        <f aca="false">IF(A14,IF(Schedule!I14="","",IF(ISNUMBER(Schedule!I14),IF(Schedule!I14&lt;10,Settings!$B$6&amp;TEXT(Schedule!I14,"#"),Schedule!I14),Schedule!I14)),"")</f>
        <v>21</v>
      </c>
      <c r="N14" s="48" t="str">
        <f aca="false">IF(A14,IF(Schedule!J14="","",Schedule!J14),"")</f>
        <v>Gauss’s Law</v>
      </c>
      <c r="O14" s="48" t="str">
        <f aca="false">IF(A14,IF(AND(Settings!$B$14="longtable",NOT(D14)),Settings!$B$15,Settings!$B$3),"")</f>
        <v>\\*</v>
      </c>
      <c r="P14" s="48" t="str">
        <f aca="false">IF(D14,Settings!$B$4,"")</f>
        <v/>
      </c>
    </row>
    <row r="15" customFormat="false" ht="15" hidden="false" customHeight="false" outlineLevel="0" collapsed="false">
      <c r="A15" s="47" t="b">
        <f aca="false">AND(Dates!F15&lt;&gt;"",ROW()&lt;=Settings!$B$13)</f>
        <v>1</v>
      </c>
      <c r="B15" s="47" t="str">
        <f aca="false">IF(NOT(A15),"",IF(Dates!D15&lt;&gt;"",Dates!D15,IF(ROW()=2,"",B14)))</f>
        <v>W05</v>
      </c>
      <c r="C15" s="47" t="b">
        <f aca="false">AND(A15,OR(ROW()=2,B15&lt;&gt;B14))</f>
        <v>0</v>
      </c>
      <c r="D15" s="47" t="b">
        <f aca="false">AND(A15,OR(NOT(A16),B16&lt;&gt;B15))</f>
        <v>0</v>
      </c>
      <c r="E15" s="47" t="n">
        <f aca="false">IF(A15,COUNTIF($B$2:$B$261,B15),0)</f>
        <v>3</v>
      </c>
      <c r="F15" s="47" t="str">
        <f aca="false">IF(A15,Dates!J15,"")</f>
        <v>Feb</v>
      </c>
      <c r="G15" s="47" t="b">
        <f aca="false">AND(A15,OR(C15,F15&lt;&gt;F14))</f>
        <v>0</v>
      </c>
      <c r="H15" s="47" t="n">
        <f aca="false">IF(A15,COUNTIFS($B$2:$B$261,B15,$F$2:$F$261,F15),0)</f>
        <v>3</v>
      </c>
      <c r="I15" s="48" t="str">
        <f aca="false">IF(C15,"\multirow{"&amp;E15&amp;"}{*}{"&amp;B15&amp;"}","")</f>
        <v/>
      </c>
      <c r="J15" s="48" t="str">
        <f aca="false">IF(G15,IF(H15=1,F15,"\multirow{"&amp;H15&amp;"}{*}{"&amp;F15&amp;"}"),"")</f>
        <v/>
      </c>
      <c r="K15" s="48" t="str">
        <f aca="false">IF(A15,TEXT(Dates!K15,"00"),"")</f>
        <v>24</v>
      </c>
      <c r="L15" s="48" t="str">
        <f aca="false">IF(A15,Dates!H15&amp;IF(C15,Settings!$B$2,""),"")</f>
        <v>We</v>
      </c>
      <c r="M15" s="48" t="n">
        <f aca="false">IF(A15,IF(Schedule!I15="","",IF(ISNUMBER(Schedule!I15),IF(Schedule!I15&lt;10,Settings!$B$6&amp;TEXT(Schedule!I15,"#"),Schedule!I15),Schedule!I15)),"")</f>
        <v>21</v>
      </c>
      <c r="N15" s="48" t="str">
        <f aca="false">IF(A15,IF(Schedule!J15="","",Schedule!J15),"")</f>
        <v>Gauss’s Law</v>
      </c>
      <c r="O15" s="48" t="str">
        <f aca="false">IF(A15,IF(AND(Settings!$B$14="longtable",NOT(D15)),Settings!$B$15,Settings!$B$3),"")</f>
        <v>\\*</v>
      </c>
      <c r="P15" s="48" t="str">
        <f aca="false">IF(D15,Settings!$B$4,"")</f>
        <v/>
      </c>
    </row>
    <row r="16" customFormat="false" ht="15" hidden="false" customHeight="false" outlineLevel="0" collapsed="false">
      <c r="A16" s="47" t="b">
        <f aca="false">AND(Dates!F16&lt;&gt;"",ROW()&lt;=Settings!$B$13)</f>
        <v>1</v>
      </c>
      <c r="B16" s="47" t="str">
        <f aca="false">IF(NOT(A16),"",IF(Dates!D16&lt;&gt;"",Dates!D16,IF(ROW()=2,"",B15)))</f>
        <v>W05</v>
      </c>
      <c r="C16" s="47" t="b">
        <f aca="false">AND(A16,OR(ROW()=2,B16&lt;&gt;B15))</f>
        <v>0</v>
      </c>
      <c r="D16" s="47" t="b">
        <f aca="false">AND(A16,OR(NOT(A17),B17&lt;&gt;B16))</f>
        <v>1</v>
      </c>
      <c r="E16" s="47" t="n">
        <f aca="false">IF(A16,COUNTIF($B$2:$B$261,B16),0)</f>
        <v>3</v>
      </c>
      <c r="F16" s="47" t="str">
        <f aca="false">IF(A16,Dates!J16,"")</f>
        <v>Feb</v>
      </c>
      <c r="G16" s="47" t="b">
        <f aca="false">AND(A16,OR(C16,F16&lt;&gt;F15))</f>
        <v>0</v>
      </c>
      <c r="H16" s="47" t="n">
        <f aca="false">IF(A16,COUNTIFS($B$2:$B$261,B16,$F$2:$F$261,F16),0)</f>
        <v>3</v>
      </c>
      <c r="I16" s="48" t="str">
        <f aca="false">IF(C16,"\multirow{"&amp;E16&amp;"}{*}{"&amp;B16&amp;"}","")</f>
        <v/>
      </c>
      <c r="J16" s="48" t="str">
        <f aca="false">IF(G16,IF(H16=1,F16,"\multirow{"&amp;H16&amp;"}{*}{"&amp;F16&amp;"}"),"")</f>
        <v/>
      </c>
      <c r="K16" s="48" t="str">
        <f aca="false">IF(A16,TEXT(Dates!K16,"00"),"")</f>
        <v>26</v>
      </c>
      <c r="L16" s="48" t="str">
        <f aca="false">IF(A16,Dates!H16&amp;IF(C16,Settings!$B$2,""),"")</f>
        <v>Fr</v>
      </c>
      <c r="M16" s="48" t="str">
        <f aca="false">IF(A16,IF(Schedule!I16="","",IF(ISNUMBER(Schedule!I16),IF(Schedule!I16&lt;10,Settings!$B$6&amp;TEXT(Schedule!I16,"#"),Schedule!I16),Schedule!I16)),"")</f>
        <v>\textbf{Midterm 1}</v>
      </c>
      <c r="N16" s="48" t="str">
        <f aca="false">IF(A16,IF(Schedule!J16="","",Schedule!J16),"")</f>
        <v/>
      </c>
      <c r="O16" s="48" t="str">
        <f aca="false">IF(A16,IF(AND(Settings!$B$14="longtable",NOT(D16)),Settings!$B$15,Settings!$B$3),"")</f>
        <v>\\</v>
      </c>
      <c r="P16" s="48" t="str">
        <f aca="false">IF(D16,Settings!$B$4,"")</f>
        <v>\hline</v>
      </c>
    </row>
    <row r="17" customFormat="false" ht="15" hidden="false" customHeight="false" outlineLevel="0" collapsed="false">
      <c r="A17" s="47" t="b">
        <f aca="false">AND(Dates!F17&lt;&gt;"",ROW()&lt;=Settings!$B$13)</f>
        <v>1</v>
      </c>
      <c r="B17" s="47" t="str">
        <f aca="false">IF(NOT(A17),"",IF(Dates!D17&lt;&gt;"",Dates!D17,IF(ROW()=2,"",B16)))</f>
        <v>W06</v>
      </c>
      <c r="C17" s="47" t="b">
        <f aca="false">AND(A17,OR(ROW()=2,B17&lt;&gt;B16))</f>
        <v>1</v>
      </c>
      <c r="D17" s="47" t="b">
        <f aca="false">AND(A17,OR(NOT(A18),B18&lt;&gt;B17))</f>
        <v>0</v>
      </c>
      <c r="E17" s="47" t="n">
        <f aca="false">IF(A17,COUNTIF($B$2:$B$261,B17),0)</f>
        <v>3</v>
      </c>
      <c r="F17" s="47" t="str">
        <f aca="false">IF(A17,Dates!J17,"")</f>
        <v>Mar</v>
      </c>
      <c r="G17" s="47" t="b">
        <f aca="false">AND(A17,OR(C17,F17&lt;&gt;F16))</f>
        <v>1</v>
      </c>
      <c r="H17" s="47" t="n">
        <f aca="false">IF(A17,COUNTIFS($B$2:$B$261,B17,$F$2:$F$261,F17),0)</f>
        <v>3</v>
      </c>
      <c r="I17" s="48" t="str">
        <f aca="false">IF(C17,"\multirow{"&amp;E17&amp;"}{*}{"&amp;B17&amp;"}","")</f>
        <v>\multirow{3}{*}{W06}</v>
      </c>
      <c r="J17" s="48" t="str">
        <f aca="false">IF(G17,IF(H17=1,F17,"\multirow{"&amp;H17&amp;"}{*}{"&amp;F17&amp;"}"),"")</f>
        <v>\multirow{3}{*}{Mar}</v>
      </c>
      <c r="K17" s="48" t="str">
        <f aca="false">IF(A17,TEXT(Dates!K17,"00"),"")</f>
        <v>01</v>
      </c>
      <c r="L17" s="48" t="str">
        <f aca="false">IF(A17,Dates!H17&amp;IF(C17,Settings!$B$2,""),"")</f>
        <v>Mo\rule{0pt}{11pt}</v>
      </c>
      <c r="M17" s="48" t="n">
        <f aca="false">IF(A17,IF(Schedule!I17="","",IF(ISNUMBER(Schedule!I17),IF(Schedule!I17&lt;10,Settings!$B$6&amp;TEXT(Schedule!I17,"#"),Schedule!I17),Schedule!I17)),"")</f>
        <v>21</v>
      </c>
      <c r="N17" s="48" t="str">
        <f aca="false">IF(A17,IF(Schedule!J17="","",Schedule!J17),"")</f>
        <v>Gauss’s Law</v>
      </c>
      <c r="O17" s="48" t="str">
        <f aca="false">IF(A17,IF(AND(Settings!$B$14="longtable",NOT(D17)),Settings!$B$15,Settings!$B$3),"")</f>
        <v>\\*</v>
      </c>
      <c r="P17" s="48" t="str">
        <f aca="false">IF(D17,Settings!$B$4,"")</f>
        <v/>
      </c>
    </row>
    <row r="18" customFormat="false" ht="15" hidden="false" customHeight="false" outlineLevel="0" collapsed="false">
      <c r="A18" s="47" t="b">
        <f aca="false">AND(Dates!F18&lt;&gt;"",ROW()&lt;=Settings!$B$13)</f>
        <v>1</v>
      </c>
      <c r="B18" s="47" t="str">
        <f aca="false">IF(NOT(A18),"",IF(Dates!D18&lt;&gt;"",Dates!D18,IF(ROW()=2,"",B17)))</f>
        <v>W06</v>
      </c>
      <c r="C18" s="47" t="b">
        <f aca="false">AND(A18,OR(ROW()=2,B18&lt;&gt;B17))</f>
        <v>0</v>
      </c>
      <c r="D18" s="47" t="b">
        <f aca="false">AND(A18,OR(NOT(A19),B19&lt;&gt;B18))</f>
        <v>0</v>
      </c>
      <c r="E18" s="47" t="n">
        <f aca="false">IF(A18,COUNTIF($B$2:$B$261,B18),0)</f>
        <v>3</v>
      </c>
      <c r="F18" s="47" t="str">
        <f aca="false">IF(A18,Dates!J18,"")</f>
        <v>Mar</v>
      </c>
      <c r="G18" s="47" t="b">
        <f aca="false">AND(A18,OR(C18,F18&lt;&gt;F17))</f>
        <v>0</v>
      </c>
      <c r="H18" s="47" t="n">
        <f aca="false">IF(A18,COUNTIFS($B$2:$B$261,B18,$F$2:$F$261,F18),0)</f>
        <v>3</v>
      </c>
      <c r="I18" s="48" t="str">
        <f aca="false">IF(C18,"\multirow{"&amp;E18&amp;"}{*}{"&amp;B18&amp;"}","")</f>
        <v/>
      </c>
      <c r="J18" s="48" t="str">
        <f aca="false">IF(G18,IF(H18=1,F18,"\multirow{"&amp;H18&amp;"}{*}{"&amp;F18&amp;"}"),"")</f>
        <v/>
      </c>
      <c r="K18" s="48" t="str">
        <f aca="false">IF(A18,TEXT(Dates!K18,"00"),"")</f>
        <v>03</v>
      </c>
      <c r="L18" s="48" t="str">
        <f aca="false">IF(A18,Dates!H18&amp;IF(C18,Settings!$B$2,""),"")</f>
        <v>We</v>
      </c>
      <c r="M18" s="48" t="n">
        <f aca="false">IF(A18,IF(Schedule!I18="","",IF(ISNUMBER(Schedule!I18),IF(Schedule!I18&lt;10,Settings!$B$6&amp;TEXT(Schedule!I18,"#"),Schedule!I18),Schedule!I18)),"")</f>
        <v>22</v>
      </c>
      <c r="N18" s="48" t="str">
        <f aca="false">IF(A18,IF(Schedule!J18="","",Schedule!J18),"")</f>
        <v>Electric Potential  </v>
      </c>
      <c r="O18" s="48" t="str">
        <f aca="false">IF(A18,IF(AND(Settings!$B$14="longtable",NOT(D18)),Settings!$B$15,Settings!$B$3),"")</f>
        <v>\\*</v>
      </c>
      <c r="P18" s="48" t="str">
        <f aca="false">IF(D18,Settings!$B$4,"")</f>
        <v/>
      </c>
    </row>
    <row r="19" customFormat="false" ht="15" hidden="false" customHeight="false" outlineLevel="0" collapsed="false">
      <c r="A19" s="47" t="b">
        <f aca="false">AND(Dates!F19&lt;&gt;"",ROW()&lt;=Settings!$B$13)</f>
        <v>1</v>
      </c>
      <c r="B19" s="47" t="str">
        <f aca="false">IF(NOT(A19),"",IF(Dates!D19&lt;&gt;"",Dates!D19,IF(ROW()=2,"",B18)))</f>
        <v>W06</v>
      </c>
      <c r="C19" s="47" t="b">
        <f aca="false">AND(A19,OR(ROW()=2,B19&lt;&gt;B18))</f>
        <v>0</v>
      </c>
      <c r="D19" s="47" t="b">
        <f aca="false">AND(A19,OR(NOT(A20),B20&lt;&gt;B19))</f>
        <v>1</v>
      </c>
      <c r="E19" s="47" t="n">
        <f aca="false">IF(A19,COUNTIF($B$2:$B$261,B19),0)</f>
        <v>3</v>
      </c>
      <c r="F19" s="47" t="str">
        <f aca="false">IF(A19,Dates!J19,"")</f>
        <v>Mar</v>
      </c>
      <c r="G19" s="47" t="b">
        <f aca="false">AND(A19,OR(C19,F19&lt;&gt;F18))</f>
        <v>0</v>
      </c>
      <c r="H19" s="47" t="n">
        <f aca="false">IF(A19,COUNTIFS($B$2:$B$261,B19,$F$2:$F$261,F19),0)</f>
        <v>3</v>
      </c>
      <c r="I19" s="48" t="str">
        <f aca="false">IF(C19,"\multirow{"&amp;E19&amp;"}{*}{"&amp;B19&amp;"}","")</f>
        <v/>
      </c>
      <c r="J19" s="48" t="str">
        <f aca="false">IF(G19,IF(H19=1,F19,"\multirow{"&amp;H19&amp;"}{*}{"&amp;F19&amp;"}"),"")</f>
        <v/>
      </c>
      <c r="K19" s="48" t="str">
        <f aca="false">IF(A19,TEXT(Dates!K19,"00"),"")</f>
        <v>05</v>
      </c>
      <c r="L19" s="48" t="str">
        <f aca="false">IF(A19,Dates!H19&amp;IF(C19,Settings!$B$2,""),"")</f>
        <v>Fr</v>
      </c>
      <c r="M19" s="48" t="n">
        <f aca="false">IF(A19,IF(Schedule!I19="","",IF(ISNUMBER(Schedule!I19),IF(Schedule!I19&lt;10,Settings!$B$6&amp;TEXT(Schedule!I19,"#"),Schedule!I19),Schedule!I19)),"")</f>
        <v>22</v>
      </c>
      <c r="N19" s="48" t="str">
        <f aca="false">IF(A19,IF(Schedule!J19="","",Schedule!J19),"")</f>
        <v>Electric Potential  </v>
      </c>
      <c r="O19" s="48" t="str">
        <f aca="false">IF(A19,IF(AND(Settings!$B$14="longtable",NOT(D19)),Settings!$B$15,Settings!$B$3),"")</f>
        <v>\\</v>
      </c>
      <c r="P19" s="48" t="str">
        <f aca="false">IF(D19,Settings!$B$4,"")</f>
        <v>\hline</v>
      </c>
    </row>
    <row r="20" customFormat="false" ht="15" hidden="false" customHeight="false" outlineLevel="0" collapsed="false">
      <c r="A20" s="47" t="b">
        <f aca="false">AND(Dates!F20&lt;&gt;"",ROW()&lt;=Settings!$B$13)</f>
        <v>1</v>
      </c>
      <c r="B20" s="47" t="str">
        <f aca="false">IF(NOT(A20),"",IF(Dates!D20&lt;&gt;"",Dates!D20,IF(ROW()=2,"",B19)))</f>
        <v>W07</v>
      </c>
      <c r="C20" s="47" t="b">
        <f aca="false">AND(A20,OR(ROW()=2,B20&lt;&gt;B19))</f>
        <v>1</v>
      </c>
      <c r="D20" s="47" t="b">
        <f aca="false">AND(A20,OR(NOT(A21),B21&lt;&gt;B20))</f>
        <v>0</v>
      </c>
      <c r="E20" s="47" t="n">
        <f aca="false">IF(A20,COUNTIF($B$2:$B$261,B20),0)</f>
        <v>3</v>
      </c>
      <c r="F20" s="47" t="str">
        <f aca="false">IF(A20,Dates!J20,"")</f>
        <v>Mar</v>
      </c>
      <c r="G20" s="47" t="b">
        <f aca="false">AND(A20,OR(C20,F20&lt;&gt;F19))</f>
        <v>1</v>
      </c>
      <c r="H20" s="47" t="n">
        <f aca="false">IF(A20,COUNTIFS($B$2:$B$261,B20,$F$2:$F$261,F20),0)</f>
        <v>3</v>
      </c>
      <c r="I20" s="48" t="str">
        <f aca="false">IF(C20,"\multirow{"&amp;E20&amp;"}{*}{"&amp;B20&amp;"}","")</f>
        <v>\multirow{3}{*}{W07}</v>
      </c>
      <c r="J20" s="48" t="str">
        <f aca="false">IF(G20,IF(H20=1,F20,"\multirow{"&amp;H20&amp;"}{*}{"&amp;F20&amp;"}"),"")</f>
        <v>\multirow{3}{*}{Mar}</v>
      </c>
      <c r="K20" s="48" t="str">
        <f aca="false">IF(A20,TEXT(Dates!K20,"00"),"")</f>
        <v>08</v>
      </c>
      <c r="L20" s="48" t="str">
        <f aca="false">IF(A20,Dates!H20&amp;IF(C20,Settings!$B$2,""),"")</f>
        <v>Mo\rule{0pt}{11pt}</v>
      </c>
      <c r="M20" s="48" t="n">
        <f aca="false">IF(A20,IF(Schedule!I20="","",IF(ISNUMBER(Schedule!I20),IF(Schedule!I20&lt;10,Settings!$B$6&amp;TEXT(Schedule!I20,"#"),Schedule!I20),Schedule!I20)),"")</f>
        <v>23</v>
      </c>
      <c r="N20" s="48" t="str">
        <f aca="false">IF(A20,IF(Schedule!J20="","",Schedule!J20),"")</f>
        <v>Electrostatic Energy and Capacitors </v>
      </c>
      <c r="O20" s="48" t="str">
        <f aca="false">IF(A20,IF(AND(Settings!$B$14="longtable",NOT(D20)),Settings!$B$15,Settings!$B$3),"")</f>
        <v>\\*</v>
      </c>
      <c r="P20" s="48" t="str">
        <f aca="false">IF(D20,Settings!$B$4,"")</f>
        <v/>
      </c>
    </row>
    <row r="21" customFormat="false" ht="15" hidden="false" customHeight="false" outlineLevel="0" collapsed="false">
      <c r="A21" s="47" t="b">
        <f aca="false">AND(Dates!F21&lt;&gt;"",ROW()&lt;=Settings!$B$13)</f>
        <v>1</v>
      </c>
      <c r="B21" s="47" t="str">
        <f aca="false">IF(NOT(A21),"",IF(Dates!D21&lt;&gt;"",Dates!D21,IF(ROW()=2,"",B20)))</f>
        <v>W07</v>
      </c>
      <c r="C21" s="47" t="b">
        <f aca="false">AND(A21,OR(ROW()=2,B21&lt;&gt;B20))</f>
        <v>0</v>
      </c>
      <c r="D21" s="47" t="b">
        <f aca="false">AND(A21,OR(NOT(A22),B22&lt;&gt;B21))</f>
        <v>0</v>
      </c>
      <c r="E21" s="47" t="n">
        <f aca="false">IF(A21,COUNTIF($B$2:$B$261,B21),0)</f>
        <v>3</v>
      </c>
      <c r="F21" s="47" t="str">
        <f aca="false">IF(A21,Dates!J21,"")</f>
        <v>Mar</v>
      </c>
      <c r="G21" s="47" t="b">
        <f aca="false">AND(A21,OR(C21,F21&lt;&gt;F20))</f>
        <v>0</v>
      </c>
      <c r="H21" s="47" t="n">
        <f aca="false">IF(A21,COUNTIFS($B$2:$B$261,B21,$F$2:$F$261,F21),0)</f>
        <v>3</v>
      </c>
      <c r="I21" s="48" t="str">
        <f aca="false">IF(C21,"\multirow{"&amp;E21&amp;"}{*}{"&amp;B21&amp;"}","")</f>
        <v/>
      </c>
      <c r="J21" s="48" t="str">
        <f aca="false">IF(G21,IF(H21=1,F21,"\multirow{"&amp;H21&amp;"}{*}{"&amp;F21&amp;"}"),"")</f>
        <v/>
      </c>
      <c r="K21" s="48" t="str">
        <f aca="false">IF(A21,TEXT(Dates!K21,"00"),"")</f>
        <v>10</v>
      </c>
      <c r="L21" s="48" t="str">
        <f aca="false">IF(A21,Dates!H21&amp;IF(C21,Settings!$B$2,""),"")</f>
        <v>We</v>
      </c>
      <c r="M21" s="48" t="n">
        <f aca="false">IF(A21,IF(Schedule!I21="","",IF(ISNUMBER(Schedule!I21),IF(Schedule!I21&lt;10,Settings!$B$6&amp;TEXT(Schedule!I21,"#"),Schedule!I21),Schedule!I21)),"")</f>
        <v>23</v>
      </c>
      <c r="N21" s="48" t="str">
        <f aca="false">IF(A21,IF(Schedule!J21="","",Schedule!J21),"")</f>
        <v>Electrostatic Energy and Capacitors </v>
      </c>
      <c r="O21" s="48" t="str">
        <f aca="false">IF(A21,IF(AND(Settings!$B$14="longtable",NOT(D21)),Settings!$B$15,Settings!$B$3),"")</f>
        <v>\\*</v>
      </c>
      <c r="P21" s="48" t="str">
        <f aca="false">IF(D21,Settings!$B$4,"")</f>
        <v/>
      </c>
    </row>
    <row r="22" customFormat="false" ht="15" hidden="false" customHeight="false" outlineLevel="0" collapsed="false">
      <c r="A22" s="47" t="b">
        <f aca="false">AND(Dates!F22&lt;&gt;"",ROW()&lt;=Settings!$B$13)</f>
        <v>1</v>
      </c>
      <c r="B22" s="47" t="str">
        <f aca="false">IF(NOT(A22),"",IF(Dates!D22&lt;&gt;"",Dates!D22,IF(ROW()=2,"",B21)))</f>
        <v>W07</v>
      </c>
      <c r="C22" s="47" t="b">
        <f aca="false">AND(A22,OR(ROW()=2,B22&lt;&gt;B21))</f>
        <v>0</v>
      </c>
      <c r="D22" s="47" t="b">
        <f aca="false">AND(A22,OR(NOT(A23),B23&lt;&gt;B22))</f>
        <v>1</v>
      </c>
      <c r="E22" s="47" t="n">
        <f aca="false">IF(A22,COUNTIF($B$2:$B$261,B22),0)</f>
        <v>3</v>
      </c>
      <c r="F22" s="47" t="str">
        <f aca="false">IF(A22,Dates!J22,"")</f>
        <v>Mar</v>
      </c>
      <c r="G22" s="47" t="b">
        <f aca="false">AND(A22,OR(C22,F22&lt;&gt;F21))</f>
        <v>0</v>
      </c>
      <c r="H22" s="47" t="n">
        <f aca="false">IF(A22,COUNTIFS($B$2:$B$261,B22,$F$2:$F$261,F22),0)</f>
        <v>3</v>
      </c>
      <c r="I22" s="48" t="str">
        <f aca="false">IF(C22,"\multirow{"&amp;E22&amp;"}{*}{"&amp;B22&amp;"}","")</f>
        <v/>
      </c>
      <c r="J22" s="48" t="str">
        <f aca="false">IF(G22,IF(H22=1,F22,"\multirow{"&amp;H22&amp;"}{*}{"&amp;F22&amp;"}"),"")</f>
        <v/>
      </c>
      <c r="K22" s="48" t="str">
        <f aca="false">IF(A22,TEXT(Dates!K22,"00"),"")</f>
        <v>12</v>
      </c>
      <c r="L22" s="48" t="str">
        <f aca="false">IF(A22,Dates!H22&amp;IF(C22,Settings!$B$2,""),"")</f>
        <v>Fr</v>
      </c>
      <c r="M22" s="48" t="n">
        <f aca="false">IF(A22,IF(Schedule!I22="","",IF(ISNUMBER(Schedule!I22),IF(Schedule!I22&lt;10,Settings!$B$6&amp;TEXT(Schedule!I22,"#"),Schedule!I22),Schedule!I22)),"")</f>
        <v>24</v>
      </c>
      <c r="N22" s="48" t="str">
        <f aca="false">IF(A22,IF(Schedule!J22="","",Schedule!J22),"")</f>
        <v>Electric Current </v>
      </c>
      <c r="O22" s="48" t="str">
        <f aca="false">IF(A22,IF(AND(Settings!$B$14="longtable",NOT(D22)),Settings!$B$15,Settings!$B$3),"")</f>
        <v>\\</v>
      </c>
      <c r="P22" s="48" t="str">
        <f aca="false">IF(D22,Settings!$B$4,"")</f>
        <v>\hline</v>
      </c>
    </row>
    <row r="23" customFormat="false" ht="15" hidden="false" customHeight="false" outlineLevel="0" collapsed="false">
      <c r="A23" s="47" t="b">
        <f aca="false">AND(Dates!F23&lt;&gt;"",ROW()&lt;=Settings!$B$13)</f>
        <v>1</v>
      </c>
      <c r="B23" s="47" t="str">
        <f aca="false">IF(NOT(A23),"",IF(Dates!D23&lt;&gt;"",Dates!D23,IF(ROW()=2,"",B22)))</f>
        <v>W08</v>
      </c>
      <c r="C23" s="47" t="b">
        <f aca="false">AND(A23,OR(ROW()=2,B23&lt;&gt;B22))</f>
        <v>1</v>
      </c>
      <c r="D23" s="47" t="b">
        <f aca="false">AND(A23,OR(NOT(A24),B24&lt;&gt;B23))</f>
        <v>0</v>
      </c>
      <c r="E23" s="47" t="n">
        <f aca="false">IF(A23,COUNTIF($B$2:$B$261,B23),0)</f>
        <v>3</v>
      </c>
      <c r="F23" s="47" t="str">
        <f aca="false">IF(A23,Dates!J23,"")</f>
        <v>Mar</v>
      </c>
      <c r="G23" s="47" t="b">
        <f aca="false">AND(A23,OR(C23,F23&lt;&gt;F22))</f>
        <v>1</v>
      </c>
      <c r="H23" s="47" t="n">
        <f aca="false">IF(A23,COUNTIFS($B$2:$B$261,B23,$F$2:$F$261,F23),0)</f>
        <v>3</v>
      </c>
      <c r="I23" s="48" t="str">
        <f aca="false">IF(C23,"\multirow{"&amp;E23&amp;"}{*}{"&amp;B23&amp;"}","")</f>
        <v>\multirow{3}{*}{W08}</v>
      </c>
      <c r="J23" s="48" t="str">
        <f aca="false">IF(G23,IF(H23=1,F23,"\multirow{"&amp;H23&amp;"}{*}{"&amp;F23&amp;"}"),"")</f>
        <v>\multirow{3}{*}{Mar}</v>
      </c>
      <c r="K23" s="48" t="str">
        <f aca="false">IF(A23,TEXT(Dates!K23,"00"),"")</f>
        <v>15</v>
      </c>
      <c r="L23" s="48" t="str">
        <f aca="false">IF(A23,Dates!H23&amp;IF(C23,Settings!$B$2,""),"")</f>
        <v>Mo\rule{0pt}{11pt}</v>
      </c>
      <c r="M23" s="48" t="str">
        <f aca="false">IF(A23,IF(Schedule!I23="","",IF(ISNUMBER(Schedule!I23),IF(Schedule!I23&lt;10,Settings!$B$6&amp;TEXT(Schedule!I23,"#"),Schedule!I23),Schedule!I23)),"")</f>
        <v>No class</v>
      </c>
      <c r="N23" s="48" t="str">
        <f aca="false">IF(A23,IF(Schedule!J23="","",Schedule!J23),"")</f>
        <v>Spring Vacation</v>
      </c>
      <c r="O23" s="48" t="str">
        <f aca="false">IF(A23,IF(AND(Settings!$B$14="longtable",NOT(D23)),Settings!$B$15,Settings!$B$3),"")</f>
        <v>\\*</v>
      </c>
      <c r="P23" s="48" t="str">
        <f aca="false">IF(D23,Settings!$B$4,"")</f>
        <v/>
      </c>
    </row>
    <row r="24" customFormat="false" ht="15" hidden="false" customHeight="false" outlineLevel="0" collapsed="false">
      <c r="A24" s="47" t="b">
        <f aca="false">AND(Dates!F24&lt;&gt;"",ROW()&lt;=Settings!$B$13)</f>
        <v>1</v>
      </c>
      <c r="B24" s="47" t="str">
        <f aca="false">IF(NOT(A24),"",IF(Dates!D24&lt;&gt;"",Dates!D24,IF(ROW()=2,"",B23)))</f>
        <v>W08</v>
      </c>
      <c r="C24" s="47" t="b">
        <f aca="false">AND(A24,OR(ROW()=2,B24&lt;&gt;B23))</f>
        <v>0</v>
      </c>
      <c r="D24" s="47" t="b">
        <f aca="false">AND(A24,OR(NOT(A25),B25&lt;&gt;B24))</f>
        <v>0</v>
      </c>
      <c r="E24" s="47" t="n">
        <f aca="false">IF(A24,COUNTIF($B$2:$B$261,B24),0)</f>
        <v>3</v>
      </c>
      <c r="F24" s="47" t="str">
        <f aca="false">IF(A24,Dates!J24,"")</f>
        <v>Mar</v>
      </c>
      <c r="G24" s="47" t="b">
        <f aca="false">AND(A24,OR(C24,F24&lt;&gt;F23))</f>
        <v>0</v>
      </c>
      <c r="H24" s="47" t="n">
        <f aca="false">IF(A24,COUNTIFS($B$2:$B$261,B24,$F$2:$F$261,F24),0)</f>
        <v>3</v>
      </c>
      <c r="I24" s="48" t="str">
        <f aca="false">IF(C24,"\multirow{"&amp;E24&amp;"}{*}{"&amp;B24&amp;"}","")</f>
        <v/>
      </c>
      <c r="J24" s="48" t="str">
        <f aca="false">IF(G24,IF(H24=1,F24,"\multirow{"&amp;H24&amp;"}{*}{"&amp;F24&amp;"}"),"")</f>
        <v/>
      </c>
      <c r="K24" s="48" t="str">
        <f aca="false">IF(A24,TEXT(Dates!K24,"00"),"")</f>
        <v>17</v>
      </c>
      <c r="L24" s="48" t="str">
        <f aca="false">IF(A24,Dates!H24&amp;IF(C24,Settings!$B$2,""),"")</f>
        <v>We</v>
      </c>
      <c r="M24" s="48" t="str">
        <f aca="false">IF(A24,IF(Schedule!I24="","",IF(ISNUMBER(Schedule!I24),IF(Schedule!I24&lt;10,Settings!$B$6&amp;TEXT(Schedule!I24,"#"),Schedule!I24),Schedule!I24)),"")</f>
        <v>No class</v>
      </c>
      <c r="N24" s="48" t="str">
        <f aca="false">IF(A24,IF(Schedule!J24="","",Schedule!J24),"")</f>
        <v>Spring Vacation</v>
      </c>
      <c r="O24" s="48" t="str">
        <f aca="false">IF(A24,IF(AND(Settings!$B$14="longtable",NOT(D24)),Settings!$B$15,Settings!$B$3),"")</f>
        <v>\\*</v>
      </c>
      <c r="P24" s="48" t="str">
        <f aca="false">IF(D24,Settings!$B$4,"")</f>
        <v/>
      </c>
    </row>
    <row r="25" customFormat="false" ht="15" hidden="false" customHeight="false" outlineLevel="0" collapsed="false">
      <c r="A25" s="47" t="b">
        <f aca="false">AND(Dates!F25&lt;&gt;"",ROW()&lt;=Settings!$B$13)</f>
        <v>1</v>
      </c>
      <c r="B25" s="47" t="str">
        <f aca="false">IF(NOT(A25),"",IF(Dates!D25&lt;&gt;"",Dates!D25,IF(ROW()=2,"",B24)))</f>
        <v>W08</v>
      </c>
      <c r="C25" s="47" t="b">
        <f aca="false">AND(A25,OR(ROW()=2,B25&lt;&gt;B24))</f>
        <v>0</v>
      </c>
      <c r="D25" s="47" t="b">
        <f aca="false">AND(A25,OR(NOT(A26),B26&lt;&gt;B25))</f>
        <v>1</v>
      </c>
      <c r="E25" s="47" t="n">
        <f aca="false">IF(A25,COUNTIF($B$2:$B$261,B25),0)</f>
        <v>3</v>
      </c>
      <c r="F25" s="47" t="str">
        <f aca="false">IF(A25,Dates!J25,"")</f>
        <v>Mar</v>
      </c>
      <c r="G25" s="47" t="b">
        <f aca="false">AND(A25,OR(C25,F25&lt;&gt;F24))</f>
        <v>0</v>
      </c>
      <c r="H25" s="47" t="n">
        <f aca="false">IF(A25,COUNTIFS($B$2:$B$261,B25,$F$2:$F$261,F25),0)</f>
        <v>3</v>
      </c>
      <c r="I25" s="48" t="str">
        <f aca="false">IF(C25,"\multirow{"&amp;E25&amp;"}{*}{"&amp;B25&amp;"}","")</f>
        <v/>
      </c>
      <c r="J25" s="48" t="str">
        <f aca="false">IF(G25,IF(H25=1,F25,"\multirow{"&amp;H25&amp;"}{*}{"&amp;F25&amp;"}"),"")</f>
        <v/>
      </c>
      <c r="K25" s="48" t="str">
        <f aca="false">IF(A25,TEXT(Dates!K25,"00"),"")</f>
        <v>19</v>
      </c>
      <c r="L25" s="48" t="str">
        <f aca="false">IF(A25,Dates!H25&amp;IF(C25,Settings!$B$2,""),"")</f>
        <v>Fr</v>
      </c>
      <c r="M25" s="48" t="str">
        <f aca="false">IF(A25,IF(Schedule!I25="","",IF(ISNUMBER(Schedule!I25),IF(Schedule!I25&lt;10,Settings!$B$6&amp;TEXT(Schedule!I25,"#"),Schedule!I25),Schedule!I25)),"")</f>
        <v>No class</v>
      </c>
      <c r="N25" s="48" t="str">
        <f aca="false">IF(A25,IF(Schedule!J25="","",Schedule!J25),"")</f>
        <v>Spring Vacation</v>
      </c>
      <c r="O25" s="48" t="str">
        <f aca="false">IF(A25,IF(AND(Settings!$B$14="longtable",NOT(D25)),Settings!$B$15,Settings!$B$3),"")</f>
        <v>\\</v>
      </c>
      <c r="P25" s="48" t="str">
        <f aca="false">IF(D25,Settings!$B$4,"")</f>
        <v>\hline</v>
      </c>
    </row>
    <row r="26" customFormat="false" ht="15" hidden="false" customHeight="false" outlineLevel="0" collapsed="false">
      <c r="A26" s="47" t="b">
        <f aca="false">AND(Dates!F26&lt;&gt;"",ROW()&lt;=Settings!$B$13)</f>
        <v>1</v>
      </c>
      <c r="B26" s="47" t="str">
        <f aca="false">IF(NOT(A26),"",IF(Dates!D26&lt;&gt;"",Dates!D26,IF(ROW()=2,"",B25)))</f>
        <v>W09</v>
      </c>
      <c r="C26" s="47" t="b">
        <f aca="false">AND(A26,OR(ROW()=2,B26&lt;&gt;B25))</f>
        <v>1</v>
      </c>
      <c r="D26" s="47" t="b">
        <f aca="false">AND(A26,OR(NOT(A27),B27&lt;&gt;B26))</f>
        <v>0</v>
      </c>
      <c r="E26" s="47" t="n">
        <f aca="false">IF(A26,COUNTIF($B$2:$B$261,B26),0)</f>
        <v>3</v>
      </c>
      <c r="F26" s="47" t="str">
        <f aca="false">IF(A26,Dates!J26,"")</f>
        <v>Mar</v>
      </c>
      <c r="G26" s="47" t="b">
        <f aca="false">AND(A26,OR(C26,F26&lt;&gt;F25))</f>
        <v>1</v>
      </c>
      <c r="H26" s="47" t="n">
        <f aca="false">IF(A26,COUNTIFS($B$2:$B$261,B26,$F$2:$F$261,F26),0)</f>
        <v>3</v>
      </c>
      <c r="I26" s="48" t="str">
        <f aca="false">IF(C26,"\multirow{"&amp;E26&amp;"}{*}{"&amp;B26&amp;"}","")</f>
        <v>\multirow{3}{*}{W09}</v>
      </c>
      <c r="J26" s="48" t="str">
        <f aca="false">IF(G26,IF(H26=1,F26,"\multirow{"&amp;H26&amp;"}{*}{"&amp;F26&amp;"}"),"")</f>
        <v>\multirow{3}{*}{Mar}</v>
      </c>
      <c r="K26" s="48" t="str">
        <f aca="false">IF(A26,TEXT(Dates!K26,"00"),"")</f>
        <v>22</v>
      </c>
      <c r="L26" s="48" t="str">
        <f aca="false">IF(A26,Dates!H26&amp;IF(C26,Settings!$B$2,""),"")</f>
        <v>Mo\rule{0pt}{11pt}</v>
      </c>
      <c r="M26" s="48" t="n">
        <f aca="false">IF(A26,IF(Schedule!I26="","",IF(ISNUMBER(Schedule!I26),IF(Schedule!I26&lt;10,Settings!$B$6&amp;TEXT(Schedule!I26,"#"),Schedule!I26),Schedule!I26)),"")</f>
        <v>24</v>
      </c>
      <c r="N26" s="48" t="str">
        <f aca="false">IF(A26,IF(Schedule!J26="","",Schedule!J26),"")</f>
        <v>Electric Current </v>
      </c>
      <c r="O26" s="48" t="str">
        <f aca="false">IF(A26,IF(AND(Settings!$B$14="longtable",NOT(D26)),Settings!$B$15,Settings!$B$3),"")</f>
        <v>\\*</v>
      </c>
      <c r="P26" s="48" t="str">
        <f aca="false">IF(D26,Settings!$B$4,"")</f>
        <v/>
      </c>
    </row>
    <row r="27" customFormat="false" ht="15" hidden="false" customHeight="false" outlineLevel="0" collapsed="false">
      <c r="A27" s="47" t="b">
        <f aca="false">AND(Dates!F27&lt;&gt;"",ROW()&lt;=Settings!$B$13)</f>
        <v>1</v>
      </c>
      <c r="B27" s="47" t="str">
        <f aca="false">IF(NOT(A27),"",IF(Dates!D27&lt;&gt;"",Dates!D27,IF(ROW()=2,"",B26)))</f>
        <v>W09</v>
      </c>
      <c r="C27" s="47" t="b">
        <f aca="false">AND(A27,OR(ROW()=2,B27&lt;&gt;B26))</f>
        <v>0</v>
      </c>
      <c r="D27" s="47" t="b">
        <f aca="false">AND(A27,OR(NOT(A28),B28&lt;&gt;B27))</f>
        <v>0</v>
      </c>
      <c r="E27" s="47" t="n">
        <f aca="false">IF(A27,COUNTIF($B$2:$B$261,B27),0)</f>
        <v>3</v>
      </c>
      <c r="F27" s="47" t="str">
        <f aca="false">IF(A27,Dates!J27,"")</f>
        <v>Mar</v>
      </c>
      <c r="G27" s="47" t="b">
        <f aca="false">AND(A27,OR(C27,F27&lt;&gt;F26))</f>
        <v>0</v>
      </c>
      <c r="H27" s="47" t="n">
        <f aca="false">IF(A27,COUNTIFS($B$2:$B$261,B27,$F$2:$F$261,F27),0)</f>
        <v>3</v>
      </c>
      <c r="I27" s="48" t="str">
        <f aca="false">IF(C27,"\multirow{"&amp;E27&amp;"}{*}{"&amp;B27&amp;"}","")</f>
        <v/>
      </c>
      <c r="J27" s="48" t="str">
        <f aca="false">IF(G27,IF(H27=1,F27,"\multirow{"&amp;H27&amp;"}{*}{"&amp;F27&amp;"}"),"")</f>
        <v/>
      </c>
      <c r="K27" s="48" t="str">
        <f aca="false">IF(A27,TEXT(Dates!K27,"00"),"")</f>
        <v>24</v>
      </c>
      <c r="L27" s="48" t="str">
        <f aca="false">IF(A27,Dates!H27&amp;IF(C27,Settings!$B$2,""),"")</f>
        <v>We</v>
      </c>
      <c r="M27" s="48" t="n">
        <f aca="false">IF(A27,IF(Schedule!I27="","",IF(ISNUMBER(Schedule!I27),IF(Schedule!I27&lt;10,Settings!$B$6&amp;TEXT(Schedule!I27,"#"),Schedule!I27),Schedule!I27)),"")</f>
        <v>25</v>
      </c>
      <c r="N27" s="48" t="str">
        <f aca="false">IF(A27,IF(Schedule!J27="","",Schedule!J27),"")</f>
        <v>Electric Circuits </v>
      </c>
      <c r="O27" s="48" t="str">
        <f aca="false">IF(A27,IF(AND(Settings!$B$14="longtable",NOT(D27)),Settings!$B$15,Settings!$B$3),"")</f>
        <v>\\*</v>
      </c>
      <c r="P27" s="48" t="str">
        <f aca="false">IF(D27,Settings!$B$4,"")</f>
        <v/>
      </c>
    </row>
    <row r="28" customFormat="false" ht="15" hidden="false" customHeight="false" outlineLevel="0" collapsed="false">
      <c r="A28" s="47" t="b">
        <f aca="false">AND(Dates!F28&lt;&gt;"",ROW()&lt;=Settings!$B$13)</f>
        <v>1</v>
      </c>
      <c r="B28" s="47" t="str">
        <f aca="false">IF(NOT(A28),"",IF(Dates!D28&lt;&gt;"",Dates!D28,IF(ROW()=2,"",B27)))</f>
        <v>W09</v>
      </c>
      <c r="C28" s="47" t="b">
        <f aca="false">AND(A28,OR(ROW()=2,B28&lt;&gt;B27))</f>
        <v>0</v>
      </c>
      <c r="D28" s="47" t="b">
        <f aca="false">AND(A28,OR(NOT(A29),B29&lt;&gt;B28))</f>
        <v>1</v>
      </c>
      <c r="E28" s="47" t="n">
        <f aca="false">IF(A28,COUNTIF($B$2:$B$261,B28),0)</f>
        <v>3</v>
      </c>
      <c r="F28" s="47" t="str">
        <f aca="false">IF(A28,Dates!J28,"")</f>
        <v>Mar</v>
      </c>
      <c r="G28" s="47" t="b">
        <f aca="false">AND(A28,OR(C28,F28&lt;&gt;F27))</f>
        <v>0</v>
      </c>
      <c r="H28" s="47" t="n">
        <f aca="false">IF(A28,COUNTIFS($B$2:$B$261,B28,$F$2:$F$261,F28),0)</f>
        <v>3</v>
      </c>
      <c r="I28" s="48" t="str">
        <f aca="false">IF(C28,"\multirow{"&amp;E28&amp;"}{*}{"&amp;B28&amp;"}","")</f>
        <v/>
      </c>
      <c r="J28" s="48" t="str">
        <f aca="false">IF(G28,IF(H28=1,F28,"\multirow{"&amp;H28&amp;"}{*}{"&amp;F28&amp;"}"),"")</f>
        <v/>
      </c>
      <c r="K28" s="48" t="str">
        <f aca="false">IF(A28,TEXT(Dates!K28,"00"),"")</f>
        <v>26</v>
      </c>
      <c r="L28" s="48" t="str">
        <f aca="false">IF(A28,Dates!H28&amp;IF(C28,Settings!$B$2,""),"")</f>
        <v>Fr</v>
      </c>
      <c r="M28" s="48" t="n">
        <f aca="false">IF(A28,IF(Schedule!I28="","",IF(ISNUMBER(Schedule!I28),IF(Schedule!I28&lt;10,Settings!$B$6&amp;TEXT(Schedule!I28,"#"),Schedule!I28),Schedule!I28)),"")</f>
        <v>25</v>
      </c>
      <c r="N28" s="48" t="str">
        <f aca="false">IF(A28,IF(Schedule!J28="","",Schedule!J28),"")</f>
        <v>Electric Circuits </v>
      </c>
      <c r="O28" s="48" t="str">
        <f aca="false">IF(A28,IF(AND(Settings!$B$14="longtable",NOT(D28)),Settings!$B$15,Settings!$B$3),"")</f>
        <v>\\</v>
      </c>
      <c r="P28" s="48" t="str">
        <f aca="false">IF(D28,Settings!$B$4,"")</f>
        <v>\hline</v>
      </c>
    </row>
    <row r="29" customFormat="false" ht="15" hidden="false" customHeight="false" outlineLevel="0" collapsed="false">
      <c r="A29" s="47" t="b">
        <f aca="false">AND(Dates!F29&lt;&gt;"",ROW()&lt;=Settings!$B$13)</f>
        <v>1</v>
      </c>
      <c r="B29" s="47" t="str">
        <f aca="false">IF(NOT(A29),"",IF(Dates!D29&lt;&gt;"",Dates!D29,IF(ROW()=2,"",B28)))</f>
        <v>W10</v>
      </c>
      <c r="C29" s="47" t="b">
        <f aca="false">AND(A29,OR(ROW()=2,B29&lt;&gt;B28))</f>
        <v>1</v>
      </c>
      <c r="D29" s="47" t="b">
        <f aca="false">AND(A29,OR(NOT(A30),B30&lt;&gt;B29))</f>
        <v>0</v>
      </c>
      <c r="E29" s="47" t="n">
        <f aca="false">IF(A29,COUNTIF($B$2:$B$261,B29),0)</f>
        <v>3</v>
      </c>
      <c r="F29" s="47" t="str">
        <f aca="false">IF(A29,Dates!J29,"")</f>
        <v>Mar</v>
      </c>
      <c r="G29" s="47" t="b">
        <f aca="false">AND(A29,OR(C29,F29&lt;&gt;F28))</f>
        <v>1</v>
      </c>
      <c r="H29" s="47" t="n">
        <f aca="false">IF(A29,COUNTIFS($B$2:$B$261,B29,$F$2:$F$261,F29),0)</f>
        <v>2</v>
      </c>
      <c r="I29" s="48" t="str">
        <f aca="false">IF(C29,"\multirow{"&amp;E29&amp;"}{*}{"&amp;B29&amp;"}","")</f>
        <v>\multirow{3}{*}{W10}</v>
      </c>
      <c r="J29" s="48" t="str">
        <f aca="false">IF(G29,IF(H29=1,F29,"\multirow{"&amp;H29&amp;"}{*}{"&amp;F29&amp;"}"),"")</f>
        <v>\multirow{2}{*}{Mar}</v>
      </c>
      <c r="K29" s="48" t="str">
        <f aca="false">IF(A29,TEXT(Dates!K29,"00"),"")</f>
        <v>29</v>
      </c>
      <c r="L29" s="48" t="str">
        <f aca="false">IF(A29,Dates!H29&amp;IF(C29,Settings!$B$2,""),"")</f>
        <v>Mo\rule{0pt}{11pt}</v>
      </c>
      <c r="M29" s="48" t="n">
        <f aca="false">IF(A29,IF(Schedule!I29="","",IF(ISNUMBER(Schedule!I29),IF(Schedule!I29&lt;10,Settings!$B$6&amp;TEXT(Schedule!I29,"#"),Schedule!I29),Schedule!I29)),"")</f>
        <v>26</v>
      </c>
      <c r="N29" s="48" t="str">
        <f aca="false">IF(A29,IF(Schedule!J29="","",Schedule!J29),"")</f>
        <v>Magnetism: Force and Field</v>
      </c>
      <c r="O29" s="48" t="str">
        <f aca="false">IF(A29,IF(AND(Settings!$B$14="longtable",NOT(D29)),Settings!$B$15,Settings!$B$3),"")</f>
        <v>\\*</v>
      </c>
      <c r="P29" s="48" t="str">
        <f aca="false">IF(D29,Settings!$B$4,"")</f>
        <v/>
      </c>
    </row>
    <row r="30" customFormat="false" ht="15" hidden="false" customHeight="false" outlineLevel="0" collapsed="false">
      <c r="A30" s="47" t="b">
        <f aca="false">AND(Dates!F30&lt;&gt;"",ROW()&lt;=Settings!$B$13)</f>
        <v>1</v>
      </c>
      <c r="B30" s="47" t="str">
        <f aca="false">IF(NOT(A30),"",IF(Dates!D30&lt;&gt;"",Dates!D30,IF(ROW()=2,"",B29)))</f>
        <v>W10</v>
      </c>
      <c r="C30" s="47" t="b">
        <f aca="false">AND(A30,OR(ROW()=2,B30&lt;&gt;B29))</f>
        <v>0</v>
      </c>
      <c r="D30" s="47" t="b">
        <f aca="false">AND(A30,OR(NOT(A31),B31&lt;&gt;B30))</f>
        <v>0</v>
      </c>
      <c r="E30" s="47" t="n">
        <f aca="false">IF(A30,COUNTIF($B$2:$B$261,B30),0)</f>
        <v>3</v>
      </c>
      <c r="F30" s="47" t="str">
        <f aca="false">IF(A30,Dates!J30,"")</f>
        <v>Mar</v>
      </c>
      <c r="G30" s="47" t="b">
        <f aca="false">AND(A30,OR(C30,F30&lt;&gt;F29))</f>
        <v>0</v>
      </c>
      <c r="H30" s="47" t="n">
        <f aca="false">IF(A30,COUNTIFS($B$2:$B$261,B30,$F$2:$F$261,F30),0)</f>
        <v>2</v>
      </c>
      <c r="I30" s="48" t="str">
        <f aca="false">IF(C30,"\multirow{"&amp;E30&amp;"}{*}{"&amp;B30&amp;"}","")</f>
        <v/>
      </c>
      <c r="J30" s="48" t="str">
        <f aca="false">IF(G30,IF(H30=1,F30,"\multirow{"&amp;H30&amp;"}{*}{"&amp;F30&amp;"}"),"")</f>
        <v/>
      </c>
      <c r="K30" s="48" t="str">
        <f aca="false">IF(A30,TEXT(Dates!K30,"00"),"")</f>
        <v>31</v>
      </c>
      <c r="L30" s="48" t="str">
        <f aca="false">IF(A30,Dates!H30&amp;IF(C30,Settings!$B$2,""),"")</f>
        <v>We</v>
      </c>
      <c r="M30" s="48" t="n">
        <f aca="false">IF(A30,IF(Schedule!I30="","",IF(ISNUMBER(Schedule!I30),IF(Schedule!I30&lt;10,Settings!$B$6&amp;TEXT(Schedule!I30,"#"),Schedule!I30),Schedule!I30)),"")</f>
        <v>26</v>
      </c>
      <c r="N30" s="48" t="str">
        <f aca="false">IF(A30,IF(Schedule!J30="","",Schedule!J30),"")</f>
        <v>Magnetism: Force and Field</v>
      </c>
      <c r="O30" s="48" t="str">
        <f aca="false">IF(A30,IF(AND(Settings!$B$14="longtable",NOT(D30)),Settings!$B$15,Settings!$B$3),"")</f>
        <v>\\*</v>
      </c>
      <c r="P30" s="48" t="str">
        <f aca="false">IF(D30,Settings!$B$4,"")</f>
        <v/>
      </c>
    </row>
    <row r="31" customFormat="false" ht="15" hidden="false" customHeight="false" outlineLevel="0" collapsed="false">
      <c r="A31" s="47" t="b">
        <f aca="false">AND(Dates!F31&lt;&gt;"",ROW()&lt;=Settings!$B$13)</f>
        <v>1</v>
      </c>
      <c r="B31" s="47" t="str">
        <f aca="false">IF(NOT(A31),"",IF(Dates!D31&lt;&gt;"",Dates!D31,IF(ROW()=2,"",B30)))</f>
        <v>W10</v>
      </c>
      <c r="C31" s="47" t="b">
        <f aca="false">AND(A31,OR(ROW()=2,B31&lt;&gt;B30))</f>
        <v>0</v>
      </c>
      <c r="D31" s="47" t="b">
        <f aca="false">AND(A31,OR(NOT(A32),B32&lt;&gt;B31))</f>
        <v>1</v>
      </c>
      <c r="E31" s="47" t="n">
        <f aca="false">IF(A31,COUNTIF($B$2:$B$261,B31),0)</f>
        <v>3</v>
      </c>
      <c r="F31" s="47" t="str">
        <f aca="false">IF(A31,Dates!J31,"")</f>
        <v>Apr</v>
      </c>
      <c r="G31" s="47" t="b">
        <f aca="false">AND(A31,OR(C31,F31&lt;&gt;F30))</f>
        <v>1</v>
      </c>
      <c r="H31" s="47" t="n">
        <f aca="false">IF(A31,COUNTIFS($B$2:$B$261,B31,$F$2:$F$261,F31),0)</f>
        <v>1</v>
      </c>
      <c r="I31" s="48" t="str">
        <f aca="false">IF(C31,"\multirow{"&amp;E31&amp;"}{*}{"&amp;B31&amp;"}","")</f>
        <v/>
      </c>
      <c r="J31" s="48" t="str">
        <f aca="false">IF(G31,IF(H31=1,F31,"\multirow{"&amp;H31&amp;"}{*}{"&amp;F31&amp;"}"),"")</f>
        <v>Apr</v>
      </c>
      <c r="K31" s="48" t="str">
        <f aca="false">IF(A31,TEXT(Dates!K31,"00"),"")</f>
        <v>02</v>
      </c>
      <c r="L31" s="48" t="str">
        <f aca="false">IF(A31,Dates!H31&amp;IF(C31,Settings!$B$2,""),"")</f>
        <v>Fr</v>
      </c>
      <c r="M31" s="48" t="n">
        <f aca="false">IF(A31,IF(Schedule!I31="","",IF(ISNUMBER(Schedule!I31),IF(Schedule!I31&lt;10,Settings!$B$6&amp;TEXT(Schedule!I31,"#"),Schedule!I31),Schedule!I31)),"")</f>
        <v>26</v>
      </c>
      <c r="N31" s="48" t="str">
        <f aca="false">IF(A31,IF(Schedule!J31="","",Schedule!J31),"")</f>
        <v>Magnetism: Force and Field</v>
      </c>
      <c r="O31" s="48" t="str">
        <f aca="false">IF(A31,IF(AND(Settings!$B$14="longtable",NOT(D31)),Settings!$B$15,Settings!$B$3),"")</f>
        <v>\\</v>
      </c>
      <c r="P31" s="48" t="str">
        <f aca="false">IF(D31,Settings!$B$4,"")</f>
        <v>\hline</v>
      </c>
    </row>
    <row r="32" customFormat="false" ht="15" hidden="false" customHeight="false" outlineLevel="0" collapsed="false">
      <c r="A32" s="47" t="b">
        <f aca="false">AND(Dates!F32&lt;&gt;"",ROW()&lt;=Settings!$B$13)</f>
        <v>1</v>
      </c>
      <c r="B32" s="47" t="str">
        <f aca="false">IF(NOT(A32),"",IF(Dates!D32&lt;&gt;"",Dates!D32,IF(ROW()=2,"",B31)))</f>
        <v>W11</v>
      </c>
      <c r="C32" s="47" t="b">
        <f aca="false">AND(A32,OR(ROW()=2,B32&lt;&gt;B31))</f>
        <v>1</v>
      </c>
      <c r="D32" s="47" t="b">
        <f aca="false">AND(A32,OR(NOT(A33),B33&lt;&gt;B32))</f>
        <v>0</v>
      </c>
      <c r="E32" s="47" t="n">
        <f aca="false">IF(A32,COUNTIF($B$2:$B$261,B32),0)</f>
        <v>3</v>
      </c>
      <c r="F32" s="47" t="str">
        <f aca="false">IF(A32,Dates!J32,"")</f>
        <v>Apr</v>
      </c>
      <c r="G32" s="47" t="b">
        <f aca="false">AND(A32,OR(C32,F32&lt;&gt;F31))</f>
        <v>1</v>
      </c>
      <c r="H32" s="47" t="n">
        <f aca="false">IF(A32,COUNTIFS($B$2:$B$261,B32,$F$2:$F$261,F32),0)</f>
        <v>3</v>
      </c>
      <c r="I32" s="48" t="str">
        <f aca="false">IF(C32,"\multirow{"&amp;E32&amp;"}{*}{"&amp;B32&amp;"}","")</f>
        <v>\multirow{3}{*}{W11}</v>
      </c>
      <c r="J32" s="48" t="str">
        <f aca="false">IF(G32,IF(H32=1,F32,"\multirow{"&amp;H32&amp;"}{*}{"&amp;F32&amp;"}"),"")</f>
        <v>\multirow{3}{*}{Apr}</v>
      </c>
      <c r="K32" s="48" t="str">
        <f aca="false">IF(A32,TEXT(Dates!K32,"00"),"")</f>
        <v>05</v>
      </c>
      <c r="L32" s="48" t="str">
        <f aca="false">IF(A32,Dates!H32&amp;IF(C32,Settings!$B$2,""),"")</f>
        <v>Mo\rule{0pt}{11pt}</v>
      </c>
      <c r="M32" s="48" t="n">
        <f aca="false">IF(A32,IF(Schedule!I32="","",IF(ISNUMBER(Schedule!I32),IF(Schedule!I32&lt;10,Settings!$B$6&amp;TEXT(Schedule!I32,"#"),Schedule!I32),Schedule!I32)),"")</f>
        <v>26</v>
      </c>
      <c r="N32" s="48" t="str">
        <f aca="false">IF(A32,IF(Schedule!J32="","",Schedule!J32),"")</f>
        <v>Magnetism: Force and Field</v>
      </c>
      <c r="O32" s="48" t="str">
        <f aca="false">IF(A32,IF(AND(Settings!$B$14="longtable",NOT(D32)),Settings!$B$15,Settings!$B$3),"")</f>
        <v>\\*</v>
      </c>
      <c r="P32" s="48" t="str">
        <f aca="false">IF(D32,Settings!$B$4,"")</f>
        <v/>
      </c>
    </row>
    <row r="33" customFormat="false" ht="15" hidden="false" customHeight="false" outlineLevel="0" collapsed="false">
      <c r="A33" s="47" t="b">
        <f aca="false">AND(Dates!F33&lt;&gt;"",ROW()&lt;=Settings!$B$13)</f>
        <v>1</v>
      </c>
      <c r="B33" s="47" t="str">
        <f aca="false">IF(NOT(A33),"",IF(Dates!D33&lt;&gt;"",Dates!D33,IF(ROW()=2,"",B32)))</f>
        <v>W11</v>
      </c>
      <c r="C33" s="47" t="b">
        <f aca="false">AND(A33,OR(ROW()=2,B33&lt;&gt;B32))</f>
        <v>0</v>
      </c>
      <c r="D33" s="47" t="b">
        <f aca="false">AND(A33,OR(NOT(A34),B34&lt;&gt;B33))</f>
        <v>0</v>
      </c>
      <c r="E33" s="47" t="n">
        <f aca="false">IF(A33,COUNTIF($B$2:$B$261,B33),0)</f>
        <v>3</v>
      </c>
      <c r="F33" s="47" t="str">
        <f aca="false">IF(A33,Dates!J33,"")</f>
        <v>Apr</v>
      </c>
      <c r="G33" s="47" t="b">
        <f aca="false">AND(A33,OR(C33,F33&lt;&gt;F32))</f>
        <v>0</v>
      </c>
      <c r="H33" s="47" t="n">
        <f aca="false">IF(A33,COUNTIFS($B$2:$B$261,B33,$F$2:$F$261,F33),0)</f>
        <v>3</v>
      </c>
      <c r="I33" s="48" t="str">
        <f aca="false">IF(C33,"\multirow{"&amp;E33&amp;"}{*}{"&amp;B33&amp;"}","")</f>
        <v/>
      </c>
      <c r="J33" s="48" t="str">
        <f aca="false">IF(G33,IF(H33=1,F33,"\multirow{"&amp;H33&amp;"}{*}{"&amp;F33&amp;"}"),"")</f>
        <v/>
      </c>
      <c r="K33" s="48" t="str">
        <f aca="false">IF(A33,TEXT(Dates!K33,"00"),"")</f>
        <v>07</v>
      </c>
      <c r="L33" s="48" t="str">
        <f aca="false">IF(A33,Dates!H33&amp;IF(C33,Settings!$B$2,""),"")</f>
        <v>We</v>
      </c>
      <c r="M33" s="48" t="n">
        <f aca="false">IF(A33,IF(Schedule!I33="","",IF(ISNUMBER(Schedule!I33),IF(Schedule!I33&lt;10,Settings!$B$6&amp;TEXT(Schedule!I33,"#"),Schedule!I33),Schedule!I33)),"")</f>
        <v>27</v>
      </c>
      <c r="N33" s="48" t="str">
        <f aca="false">IF(A33,IF(Schedule!J33="","",Schedule!J33),"")</f>
        <v>Electromagnetic Induction</v>
      </c>
      <c r="O33" s="48" t="str">
        <f aca="false">IF(A33,IF(AND(Settings!$B$14="longtable",NOT(D33)),Settings!$B$15,Settings!$B$3),"")</f>
        <v>\\*</v>
      </c>
      <c r="P33" s="48" t="str">
        <f aca="false">IF(D33,Settings!$B$4,"")</f>
        <v/>
      </c>
    </row>
    <row r="34" customFormat="false" ht="15" hidden="false" customHeight="false" outlineLevel="0" collapsed="false">
      <c r="A34" s="47" t="b">
        <f aca="false">AND(Dates!F34&lt;&gt;"",ROW()&lt;=Settings!$B$13)</f>
        <v>1</v>
      </c>
      <c r="B34" s="47" t="str">
        <f aca="false">IF(NOT(A34),"",IF(Dates!D34&lt;&gt;"",Dates!D34,IF(ROW()=2,"",B33)))</f>
        <v>W11</v>
      </c>
      <c r="C34" s="47" t="b">
        <f aca="false">AND(A34,OR(ROW()=2,B34&lt;&gt;B33))</f>
        <v>0</v>
      </c>
      <c r="D34" s="47" t="b">
        <f aca="false">AND(A34,OR(NOT(A35),B35&lt;&gt;B34))</f>
        <v>1</v>
      </c>
      <c r="E34" s="47" t="n">
        <f aca="false">IF(A34,COUNTIF($B$2:$B$261,B34),0)</f>
        <v>3</v>
      </c>
      <c r="F34" s="47" t="str">
        <f aca="false">IF(A34,Dates!J34,"")</f>
        <v>Apr</v>
      </c>
      <c r="G34" s="47" t="b">
        <f aca="false">AND(A34,OR(C34,F34&lt;&gt;F33))</f>
        <v>0</v>
      </c>
      <c r="H34" s="47" t="n">
        <f aca="false">IF(A34,COUNTIFS($B$2:$B$261,B34,$F$2:$F$261,F34),0)</f>
        <v>3</v>
      </c>
      <c r="I34" s="48" t="str">
        <f aca="false">IF(C34,"\multirow{"&amp;E34&amp;"}{*}{"&amp;B34&amp;"}","")</f>
        <v/>
      </c>
      <c r="J34" s="48" t="str">
        <f aca="false">IF(G34,IF(H34=1,F34,"\multirow{"&amp;H34&amp;"}{*}{"&amp;F34&amp;"}"),"")</f>
        <v/>
      </c>
      <c r="K34" s="48" t="str">
        <f aca="false">IF(A34,TEXT(Dates!K34,"00"),"")</f>
        <v>09</v>
      </c>
      <c r="L34" s="48" t="str">
        <f aca="false">IF(A34,Dates!H34&amp;IF(C34,Settings!$B$2,""),"")</f>
        <v>Fr</v>
      </c>
      <c r="M34" s="48" t="str">
        <f aca="false">IF(A34,IF(Schedule!I34="","",IF(ISNUMBER(Schedule!I34),IF(Schedule!I34&lt;10,Settings!$B$6&amp;TEXT(Schedule!I34,"#"),Schedule!I34),Schedule!I34)),"")</f>
        <v>\textbf{Midterm 2}</v>
      </c>
      <c r="N34" s="48" t="str">
        <f aca="false">IF(A34,IF(Schedule!J34="","",Schedule!J34),"")</f>
        <v/>
      </c>
      <c r="O34" s="48" t="str">
        <f aca="false">IF(A34,IF(AND(Settings!$B$14="longtable",NOT(D34)),Settings!$B$15,Settings!$B$3),"")</f>
        <v>\\</v>
      </c>
      <c r="P34" s="48" t="str">
        <f aca="false">IF(D34,Settings!$B$4,"")</f>
        <v>\hline</v>
      </c>
    </row>
    <row r="35" customFormat="false" ht="15" hidden="false" customHeight="false" outlineLevel="0" collapsed="false">
      <c r="A35" s="47" t="b">
        <f aca="false">AND(Dates!F35&lt;&gt;"",ROW()&lt;=Settings!$B$13)</f>
        <v>1</v>
      </c>
      <c r="B35" s="47" t="str">
        <f aca="false">IF(NOT(A35),"",IF(Dates!D35&lt;&gt;"",Dates!D35,IF(ROW()=2,"",B34)))</f>
        <v>W12</v>
      </c>
      <c r="C35" s="47" t="b">
        <f aca="false">AND(A35,OR(ROW()=2,B35&lt;&gt;B34))</f>
        <v>1</v>
      </c>
      <c r="D35" s="47" t="b">
        <f aca="false">AND(A35,OR(NOT(A36),B36&lt;&gt;B35))</f>
        <v>0</v>
      </c>
      <c r="E35" s="47" t="n">
        <f aca="false">IF(A35,COUNTIF($B$2:$B$261,B35),0)</f>
        <v>3</v>
      </c>
      <c r="F35" s="47" t="str">
        <f aca="false">IF(A35,Dates!J35,"")</f>
        <v>Apr</v>
      </c>
      <c r="G35" s="47" t="b">
        <f aca="false">AND(A35,OR(C35,F35&lt;&gt;F34))</f>
        <v>1</v>
      </c>
      <c r="H35" s="47" t="n">
        <f aca="false">IF(A35,COUNTIFS($B$2:$B$261,B35,$F$2:$F$261,F35),0)</f>
        <v>3</v>
      </c>
      <c r="I35" s="48" t="str">
        <f aca="false">IF(C35,"\multirow{"&amp;E35&amp;"}{*}{"&amp;B35&amp;"}","")</f>
        <v>\multirow{3}{*}{W12}</v>
      </c>
      <c r="J35" s="48" t="str">
        <f aca="false">IF(G35,IF(H35=1,F35,"\multirow{"&amp;H35&amp;"}{*}{"&amp;F35&amp;"}"),"")</f>
        <v>\multirow{3}{*}{Apr}</v>
      </c>
      <c r="K35" s="48" t="str">
        <f aca="false">IF(A35,TEXT(Dates!K35,"00"),"")</f>
        <v>12</v>
      </c>
      <c r="L35" s="48" t="str">
        <f aca="false">IF(A35,Dates!H35&amp;IF(C35,Settings!$B$2,""),"")</f>
        <v>Mo\rule{0pt}{11pt}</v>
      </c>
      <c r="M35" s="48" t="n">
        <f aca="false">IF(A35,IF(Schedule!I35="","",IF(ISNUMBER(Schedule!I35),IF(Schedule!I35&lt;10,Settings!$B$6&amp;TEXT(Schedule!I35,"#"),Schedule!I35),Schedule!I35)),"")</f>
        <v>27</v>
      </c>
      <c r="N35" s="48" t="str">
        <f aca="false">IF(A35,IF(Schedule!J35="","",Schedule!J35),"")</f>
        <v>Electromagnetic Induction</v>
      </c>
      <c r="O35" s="48" t="str">
        <f aca="false">IF(A35,IF(AND(Settings!$B$14="longtable",NOT(D35)),Settings!$B$15,Settings!$B$3),"")</f>
        <v>\\*</v>
      </c>
      <c r="P35" s="48" t="str">
        <f aca="false">IF(D35,Settings!$B$4,"")</f>
        <v/>
      </c>
    </row>
    <row r="36" customFormat="false" ht="15" hidden="false" customHeight="false" outlineLevel="0" collapsed="false">
      <c r="A36" s="47" t="b">
        <f aca="false">AND(Dates!F36&lt;&gt;"",ROW()&lt;=Settings!$B$13)</f>
        <v>1</v>
      </c>
      <c r="B36" s="47" t="str">
        <f aca="false">IF(NOT(A36),"",IF(Dates!D36&lt;&gt;"",Dates!D36,IF(ROW()=2,"",B35)))</f>
        <v>W12</v>
      </c>
      <c r="C36" s="47" t="b">
        <f aca="false">AND(A36,OR(ROW()=2,B36&lt;&gt;B35))</f>
        <v>0</v>
      </c>
      <c r="D36" s="47" t="b">
        <f aca="false">AND(A36,OR(NOT(A37),B37&lt;&gt;B36))</f>
        <v>0</v>
      </c>
      <c r="E36" s="47" t="n">
        <f aca="false">IF(A36,COUNTIF($B$2:$B$261,B36),0)</f>
        <v>3</v>
      </c>
      <c r="F36" s="47" t="str">
        <f aca="false">IF(A36,Dates!J36,"")</f>
        <v>Apr</v>
      </c>
      <c r="G36" s="47" t="b">
        <f aca="false">AND(A36,OR(C36,F36&lt;&gt;F35))</f>
        <v>0</v>
      </c>
      <c r="H36" s="47" t="n">
        <f aca="false">IF(A36,COUNTIFS($B$2:$B$261,B36,$F$2:$F$261,F36),0)</f>
        <v>3</v>
      </c>
      <c r="I36" s="48" t="str">
        <f aca="false">IF(C36,"\multirow{"&amp;E36&amp;"}{*}{"&amp;B36&amp;"}","")</f>
        <v/>
      </c>
      <c r="J36" s="48" t="str">
        <f aca="false">IF(G36,IF(H36=1,F36,"\multirow{"&amp;H36&amp;"}{*}{"&amp;F36&amp;"}"),"")</f>
        <v/>
      </c>
      <c r="K36" s="48" t="str">
        <f aca="false">IF(A36,TEXT(Dates!K36,"00"),"")</f>
        <v>14</v>
      </c>
      <c r="L36" s="48" t="str">
        <f aca="false">IF(A36,Dates!H36&amp;IF(C36,Settings!$B$2,""),"")</f>
        <v>We</v>
      </c>
      <c r="M36" s="48" t="n">
        <f aca="false">IF(A36,IF(Schedule!I36="","",IF(ISNUMBER(Schedule!I36),IF(Schedule!I36&lt;10,Settings!$B$6&amp;TEXT(Schedule!I36,"#"),Schedule!I36),Schedule!I36)),"")</f>
        <v>27</v>
      </c>
      <c r="N36" s="48" t="str">
        <f aca="false">IF(A36,IF(Schedule!J36="","",Schedule!J36),"")</f>
        <v>Electromagnetic Induction</v>
      </c>
      <c r="O36" s="48" t="str">
        <f aca="false">IF(A36,IF(AND(Settings!$B$14="longtable",NOT(D36)),Settings!$B$15,Settings!$B$3),"")</f>
        <v>\\*</v>
      </c>
      <c r="P36" s="48" t="str">
        <f aca="false">IF(D36,Settings!$B$4,"")</f>
        <v/>
      </c>
    </row>
    <row r="37" customFormat="false" ht="15" hidden="false" customHeight="false" outlineLevel="0" collapsed="false">
      <c r="A37" s="47" t="b">
        <f aca="false">AND(Dates!F37&lt;&gt;"",ROW()&lt;=Settings!$B$13)</f>
        <v>1</v>
      </c>
      <c r="B37" s="47" t="str">
        <f aca="false">IF(NOT(A37),"",IF(Dates!D37&lt;&gt;"",Dates!D37,IF(ROW()=2,"",B36)))</f>
        <v>W12</v>
      </c>
      <c r="C37" s="47" t="b">
        <f aca="false">AND(A37,OR(ROW()=2,B37&lt;&gt;B36))</f>
        <v>0</v>
      </c>
      <c r="D37" s="47" t="b">
        <f aca="false">AND(A37,OR(NOT(A38),B38&lt;&gt;B37))</f>
        <v>1</v>
      </c>
      <c r="E37" s="47" t="n">
        <f aca="false">IF(A37,COUNTIF($B$2:$B$261,B37),0)</f>
        <v>3</v>
      </c>
      <c r="F37" s="47" t="str">
        <f aca="false">IF(A37,Dates!J37,"")</f>
        <v>Apr</v>
      </c>
      <c r="G37" s="47" t="b">
        <f aca="false">AND(A37,OR(C37,F37&lt;&gt;F36))</f>
        <v>0</v>
      </c>
      <c r="H37" s="47" t="n">
        <f aca="false">IF(A37,COUNTIFS($B$2:$B$261,B37,$F$2:$F$261,F37),0)</f>
        <v>3</v>
      </c>
      <c r="I37" s="48" t="str">
        <f aca="false">IF(C37,"\multirow{"&amp;E37&amp;"}{*}{"&amp;B37&amp;"}","")</f>
        <v/>
      </c>
      <c r="J37" s="48" t="str">
        <f aca="false">IF(G37,IF(H37=1,F37,"\multirow{"&amp;H37&amp;"}{*}{"&amp;F37&amp;"}"),"")</f>
        <v/>
      </c>
      <c r="K37" s="48" t="str">
        <f aca="false">IF(A37,TEXT(Dates!K37,"00"),"")</f>
        <v>16</v>
      </c>
      <c r="L37" s="48" t="str">
        <f aca="false">IF(A37,Dates!H37&amp;IF(C37,Settings!$B$2,""),"")</f>
        <v>Fr</v>
      </c>
      <c r="M37" s="48" t="n">
        <f aca="false">IF(A37,IF(Schedule!I37="","",IF(ISNUMBER(Schedule!I37),IF(Schedule!I37&lt;10,Settings!$B$6&amp;TEXT(Schedule!I37,"#"),Schedule!I37),Schedule!I37)),"")</f>
        <v>28</v>
      </c>
      <c r="N37" s="48" t="str">
        <f aca="false">IF(A37,IF(Schedule!J37="","",Schedule!J37),"")</f>
        <v>Alternating-Current Circuits</v>
      </c>
      <c r="O37" s="48" t="str">
        <f aca="false">IF(A37,IF(AND(Settings!$B$14="longtable",NOT(D37)),Settings!$B$15,Settings!$B$3),"")</f>
        <v>\\</v>
      </c>
      <c r="P37" s="48" t="str">
        <f aca="false">IF(D37,Settings!$B$4,"")</f>
        <v>\hline</v>
      </c>
    </row>
    <row r="38" customFormat="false" ht="15" hidden="false" customHeight="false" outlineLevel="0" collapsed="false">
      <c r="A38" s="47" t="b">
        <f aca="false">AND(Dates!F38&lt;&gt;"",ROW()&lt;=Settings!$B$13)</f>
        <v>1</v>
      </c>
      <c r="B38" s="47" t="str">
        <f aca="false">IF(NOT(A38),"",IF(Dates!D38&lt;&gt;"",Dates!D38,IF(ROW()=2,"",B37)))</f>
        <v>W13</v>
      </c>
      <c r="C38" s="47" t="b">
        <f aca="false">AND(A38,OR(ROW()=2,B38&lt;&gt;B37))</f>
        <v>1</v>
      </c>
      <c r="D38" s="47" t="b">
        <f aca="false">AND(A38,OR(NOT(A39),B39&lt;&gt;B38))</f>
        <v>0</v>
      </c>
      <c r="E38" s="47" t="n">
        <f aca="false">IF(A38,COUNTIF($B$2:$B$261,B38),0)</f>
        <v>3</v>
      </c>
      <c r="F38" s="47" t="str">
        <f aca="false">IF(A38,Dates!J38,"")</f>
        <v>Apr</v>
      </c>
      <c r="G38" s="47" t="b">
        <f aca="false">AND(A38,OR(C38,F38&lt;&gt;F37))</f>
        <v>1</v>
      </c>
      <c r="H38" s="47" t="n">
        <f aca="false">IF(A38,COUNTIFS($B$2:$B$261,B38,$F$2:$F$261,F38),0)</f>
        <v>3</v>
      </c>
      <c r="I38" s="48" t="str">
        <f aca="false">IF(C38,"\multirow{"&amp;E38&amp;"}{*}{"&amp;B38&amp;"}","")</f>
        <v>\multirow{3}{*}{W13}</v>
      </c>
      <c r="J38" s="48" t="str">
        <f aca="false">IF(G38,IF(H38=1,F38,"\multirow{"&amp;H38&amp;"}{*}{"&amp;F38&amp;"}"),"")</f>
        <v>\multirow{3}{*}{Apr}</v>
      </c>
      <c r="K38" s="48" t="str">
        <f aca="false">IF(A38,TEXT(Dates!K38,"00"),"")</f>
        <v>19</v>
      </c>
      <c r="L38" s="48" t="str">
        <f aca="false">IF(A38,Dates!H38&amp;IF(C38,Settings!$B$2,""),"")</f>
        <v>Mo\rule{0pt}{11pt}</v>
      </c>
      <c r="M38" s="48" t="str">
        <f aca="false">IF(A38,IF(Schedule!I38="","",IF(ISNUMBER(Schedule!I38),IF(Schedule!I38&lt;10,Settings!$B$6&amp;TEXT(Schedule!I38,"#"),Schedule!I38),Schedule!I38)),"")</f>
        <v>No class</v>
      </c>
      <c r="N38" s="48" t="str">
        <f aca="false">IF(A38,IF(Schedule!J38="","",Schedule!J38),"")</f>
        <v>Patriot’s Day</v>
      </c>
      <c r="O38" s="48" t="str">
        <f aca="false">IF(A38,IF(AND(Settings!$B$14="longtable",NOT(D38)),Settings!$B$15,Settings!$B$3),"")</f>
        <v>\\*</v>
      </c>
      <c r="P38" s="48" t="str">
        <f aca="false">IF(D38,Settings!$B$4,"")</f>
        <v/>
      </c>
    </row>
    <row r="39" customFormat="false" ht="15" hidden="false" customHeight="false" outlineLevel="0" collapsed="false">
      <c r="A39" s="47" t="b">
        <f aca="false">AND(Dates!F39&lt;&gt;"",ROW()&lt;=Settings!$B$13)</f>
        <v>1</v>
      </c>
      <c r="B39" s="47" t="str">
        <f aca="false">IF(NOT(A39),"",IF(Dates!D39&lt;&gt;"",Dates!D39,IF(ROW()=2,"",B38)))</f>
        <v>W13</v>
      </c>
      <c r="C39" s="47" t="b">
        <f aca="false">AND(A39,OR(ROW()=2,B39&lt;&gt;B38))</f>
        <v>0</v>
      </c>
      <c r="D39" s="47" t="b">
        <f aca="false">AND(A39,OR(NOT(A40),B40&lt;&gt;B39))</f>
        <v>0</v>
      </c>
      <c r="E39" s="47" t="n">
        <f aca="false">IF(A39,COUNTIF($B$2:$B$261,B39),0)</f>
        <v>3</v>
      </c>
      <c r="F39" s="47" t="str">
        <f aca="false">IF(A39,Dates!J39,"")</f>
        <v>Apr</v>
      </c>
      <c r="G39" s="47" t="b">
        <f aca="false">AND(A39,OR(C39,F39&lt;&gt;F38))</f>
        <v>0</v>
      </c>
      <c r="H39" s="47" t="n">
        <f aca="false">IF(A39,COUNTIFS($B$2:$B$261,B39,$F$2:$F$261,F39),0)</f>
        <v>3</v>
      </c>
      <c r="I39" s="48" t="str">
        <f aca="false">IF(C39,"\multirow{"&amp;E39&amp;"}{*}{"&amp;B39&amp;"}","")</f>
        <v/>
      </c>
      <c r="J39" s="48" t="str">
        <f aca="false">IF(G39,IF(H39=1,F39,"\multirow{"&amp;H39&amp;"}{*}{"&amp;F39&amp;"}"),"")</f>
        <v/>
      </c>
      <c r="K39" s="48" t="str">
        <f aca="false">IF(A39,TEXT(Dates!K39,"00"),"")</f>
        <v>21</v>
      </c>
      <c r="L39" s="48" t="str">
        <f aca="false">IF(A39,Dates!H39&amp;IF(C39,Settings!$B$2,""),"")</f>
        <v>We</v>
      </c>
      <c r="M39" s="48" t="n">
        <f aca="false">IF(A39,IF(Schedule!I39="","",IF(ISNUMBER(Schedule!I39),IF(Schedule!I39&lt;10,Settings!$B$6&amp;TEXT(Schedule!I39,"#"),Schedule!I39),Schedule!I39)),"")</f>
        <v>28</v>
      </c>
      <c r="N39" s="48" t="str">
        <f aca="false">IF(A39,IF(Schedule!J39="","",Schedule!J39),"")</f>
        <v>Alternating-Current Circuits</v>
      </c>
      <c r="O39" s="48" t="str">
        <f aca="false">IF(A39,IF(AND(Settings!$B$14="longtable",NOT(D39)),Settings!$B$15,Settings!$B$3),"")</f>
        <v>\\*</v>
      </c>
      <c r="P39" s="48" t="str">
        <f aca="false">IF(D39,Settings!$B$4,"")</f>
        <v/>
      </c>
    </row>
    <row r="40" customFormat="false" ht="15" hidden="false" customHeight="false" outlineLevel="0" collapsed="false">
      <c r="A40" s="47" t="b">
        <f aca="false">AND(Dates!F40&lt;&gt;"",ROW()&lt;=Settings!$B$13)</f>
        <v>1</v>
      </c>
      <c r="B40" s="47" t="str">
        <f aca="false">IF(NOT(A40),"",IF(Dates!D40&lt;&gt;"",Dates!D40,IF(ROW()=2,"",B39)))</f>
        <v>W13</v>
      </c>
      <c r="C40" s="47" t="b">
        <f aca="false">AND(A40,OR(ROW()=2,B40&lt;&gt;B39))</f>
        <v>0</v>
      </c>
      <c r="D40" s="47" t="b">
        <f aca="false">AND(A40,OR(NOT(A41),B41&lt;&gt;B40))</f>
        <v>1</v>
      </c>
      <c r="E40" s="47" t="n">
        <f aca="false">IF(A40,COUNTIF($B$2:$B$261,B40),0)</f>
        <v>3</v>
      </c>
      <c r="F40" s="47" t="str">
        <f aca="false">IF(A40,Dates!J40,"")</f>
        <v>Apr</v>
      </c>
      <c r="G40" s="47" t="b">
        <f aca="false">AND(A40,OR(C40,F40&lt;&gt;F39))</f>
        <v>0</v>
      </c>
      <c r="H40" s="47" t="n">
        <f aca="false">IF(A40,COUNTIFS($B$2:$B$261,B40,$F$2:$F$261,F40),0)</f>
        <v>3</v>
      </c>
      <c r="I40" s="48" t="str">
        <f aca="false">IF(C40,"\multirow{"&amp;E40&amp;"}{*}{"&amp;B40&amp;"}","")</f>
        <v/>
      </c>
      <c r="J40" s="48" t="str">
        <f aca="false">IF(G40,IF(H40=1,F40,"\multirow{"&amp;H40&amp;"}{*}{"&amp;F40&amp;"}"),"")</f>
        <v/>
      </c>
      <c r="K40" s="48" t="str">
        <f aca="false">IF(A40,TEXT(Dates!K40,"00"),"")</f>
        <v>23</v>
      </c>
      <c r="L40" s="48" t="str">
        <f aca="false">IF(A40,Dates!H40&amp;IF(C40,Settings!$B$2,""),"")</f>
        <v>Fr</v>
      </c>
      <c r="M40" s="48" t="n">
        <f aca="false">IF(A40,IF(Schedule!I40="","",IF(ISNUMBER(Schedule!I40),IF(Schedule!I40&lt;10,Settings!$B$6&amp;TEXT(Schedule!I40,"#"),Schedule!I40),Schedule!I40)),"")</f>
        <v>29</v>
      </c>
      <c r="N40" s="48" t="str">
        <f aca="false">IF(A40,IF(Schedule!J40="","",Schedule!J40),"")</f>
        <v>Maxwell’s Equations and Electromagnetic Waves</v>
      </c>
      <c r="O40" s="48" t="str">
        <f aca="false">IF(A40,IF(AND(Settings!$B$14="longtable",NOT(D40)),Settings!$B$15,Settings!$B$3),"")</f>
        <v>\\</v>
      </c>
      <c r="P40" s="48" t="str">
        <f aca="false">IF(D40,Settings!$B$4,"")</f>
        <v>\hline</v>
      </c>
    </row>
    <row r="41" customFormat="false" ht="15" hidden="false" customHeight="false" outlineLevel="0" collapsed="false">
      <c r="A41" s="47" t="b">
        <f aca="false">AND(Dates!F41&lt;&gt;"",ROW()&lt;=Settings!$B$13)</f>
        <v>1</v>
      </c>
      <c r="B41" s="47" t="str">
        <f aca="false">IF(NOT(A41),"",IF(Dates!D41&lt;&gt;"",Dates!D41,IF(ROW()=2,"",B40)))</f>
        <v>W14</v>
      </c>
      <c r="C41" s="47" t="b">
        <f aca="false">AND(A41,OR(ROW()=2,B41&lt;&gt;B40))</f>
        <v>1</v>
      </c>
      <c r="D41" s="47" t="b">
        <f aca="false">AND(A41,OR(NOT(A42),B42&lt;&gt;B41))</f>
        <v>0</v>
      </c>
      <c r="E41" s="47" t="n">
        <f aca="false">IF(A41,COUNTIF($B$2:$B$261,B41),0)</f>
        <v>3</v>
      </c>
      <c r="F41" s="47" t="str">
        <f aca="false">IF(A41,Dates!J41,"")</f>
        <v>Apr</v>
      </c>
      <c r="G41" s="47" t="b">
        <f aca="false">AND(A41,OR(C41,F41&lt;&gt;F40))</f>
        <v>1</v>
      </c>
      <c r="H41" s="47" t="n">
        <f aca="false">IF(A41,COUNTIFS($B$2:$B$261,B41,$F$2:$F$261,F41),0)</f>
        <v>3</v>
      </c>
      <c r="I41" s="48" t="str">
        <f aca="false">IF(C41,"\multirow{"&amp;E41&amp;"}{*}{"&amp;B41&amp;"}","")</f>
        <v>\multirow{3}{*}{W14}</v>
      </c>
      <c r="J41" s="48" t="str">
        <f aca="false">IF(G41,IF(H41=1,F41,"\multirow{"&amp;H41&amp;"}{*}{"&amp;F41&amp;"}"),"")</f>
        <v>\multirow{3}{*}{Apr}</v>
      </c>
      <c r="K41" s="48" t="str">
        <f aca="false">IF(A41,TEXT(Dates!K41,"00"),"")</f>
        <v>26</v>
      </c>
      <c r="L41" s="48" t="str">
        <f aca="false">IF(A41,Dates!H41&amp;IF(C41,Settings!$B$2,""),"")</f>
        <v>Mo\rule{0pt}{11pt}</v>
      </c>
      <c r="M41" s="48" t="n">
        <f aca="false">IF(A41,IF(Schedule!I41="","",IF(ISNUMBER(Schedule!I41),IF(Schedule!I41&lt;10,Settings!$B$6&amp;TEXT(Schedule!I41,"#"),Schedule!I41),Schedule!I41)),"")</f>
        <v>29</v>
      </c>
      <c r="N41" s="48" t="str">
        <f aca="false">IF(A41,IF(Schedule!J41="","",Schedule!J41),"")</f>
        <v>Maxwell’s Equations and Electromagnetic Waves</v>
      </c>
      <c r="O41" s="48" t="str">
        <f aca="false">IF(A41,IF(AND(Settings!$B$14="longtable",NOT(D41)),Settings!$B$15,Settings!$B$3),"")</f>
        <v>\\*</v>
      </c>
      <c r="P41" s="48" t="str">
        <f aca="false">IF(D41,Settings!$B$4,"")</f>
        <v/>
      </c>
    </row>
    <row r="42" customFormat="false" ht="15" hidden="false" customHeight="false" outlineLevel="0" collapsed="false">
      <c r="A42" s="47" t="b">
        <f aca="false">AND(Dates!F42&lt;&gt;"",ROW()&lt;=Settings!$B$13)</f>
        <v>1</v>
      </c>
      <c r="B42" s="47" t="str">
        <f aca="false">IF(NOT(A42),"",IF(Dates!D42&lt;&gt;"",Dates!D42,IF(ROW()=2,"",B41)))</f>
        <v>W14</v>
      </c>
      <c r="C42" s="47" t="b">
        <f aca="false">AND(A42,OR(ROW()=2,B42&lt;&gt;B41))</f>
        <v>0</v>
      </c>
      <c r="D42" s="47" t="b">
        <f aca="false">AND(A42,OR(NOT(A43),B43&lt;&gt;B42))</f>
        <v>0</v>
      </c>
      <c r="E42" s="47" t="n">
        <f aca="false">IF(A42,COUNTIF($B$2:$B$261,B42),0)</f>
        <v>3</v>
      </c>
      <c r="F42" s="47" t="str">
        <f aca="false">IF(A42,Dates!J42,"")</f>
        <v>Apr</v>
      </c>
      <c r="G42" s="47" t="b">
        <f aca="false">AND(A42,OR(C42,F42&lt;&gt;F41))</f>
        <v>0</v>
      </c>
      <c r="H42" s="47" t="n">
        <f aca="false">IF(A42,COUNTIFS($B$2:$B$261,B42,$F$2:$F$261,F42),0)</f>
        <v>3</v>
      </c>
      <c r="I42" s="48" t="str">
        <f aca="false">IF(C42,"\multirow{"&amp;E42&amp;"}{*}{"&amp;B42&amp;"}","")</f>
        <v/>
      </c>
      <c r="J42" s="48" t="str">
        <f aca="false">IF(G42,IF(H42=1,F42,"\multirow{"&amp;H42&amp;"}{*}{"&amp;F42&amp;"}"),"")</f>
        <v/>
      </c>
      <c r="K42" s="48" t="str">
        <f aca="false">IF(A42,TEXT(Dates!K42,"00"),"")</f>
        <v>28</v>
      </c>
      <c r="L42" s="48" t="str">
        <f aca="false">IF(A42,Dates!H42&amp;IF(C42,Settings!$B$2,""),"")</f>
        <v>We</v>
      </c>
      <c r="M42" s="48" t="n">
        <f aca="false">IF(A42,IF(Schedule!I42="","",IF(ISNUMBER(Schedule!I42),IF(Schedule!I42&lt;10,Settings!$B$6&amp;TEXT(Schedule!I42,"#"),Schedule!I42),Schedule!I42)),"")</f>
        <v>30</v>
      </c>
      <c r="N42" s="48" t="str">
        <f aca="false">IF(A42,IF(Schedule!J42="","",Schedule!J42),"")</f>
        <v>Reflection and Refraction</v>
      </c>
      <c r="O42" s="48" t="str">
        <f aca="false">IF(A42,IF(AND(Settings!$B$14="longtable",NOT(D42)),Settings!$B$15,Settings!$B$3),"")</f>
        <v>\\*</v>
      </c>
      <c r="P42" s="48" t="str">
        <f aca="false">IF(D42,Settings!$B$4,"")</f>
        <v/>
      </c>
    </row>
    <row r="43" customFormat="false" ht="15" hidden="false" customHeight="false" outlineLevel="0" collapsed="false">
      <c r="A43" s="47" t="b">
        <f aca="false">AND(Dates!F43&lt;&gt;"",ROW()&lt;=Settings!$B$13)</f>
        <v>1</v>
      </c>
      <c r="B43" s="47" t="str">
        <f aca="false">IF(NOT(A43),"",IF(Dates!D43&lt;&gt;"",Dates!D43,IF(ROW()=2,"",B42)))</f>
        <v>W14</v>
      </c>
      <c r="C43" s="47" t="b">
        <f aca="false">AND(A43,OR(ROW()=2,B43&lt;&gt;B42))</f>
        <v>0</v>
      </c>
      <c r="D43" s="47" t="b">
        <f aca="false">AND(A43,OR(NOT(A44),B44&lt;&gt;B43))</f>
        <v>1</v>
      </c>
      <c r="E43" s="47" t="n">
        <f aca="false">IF(A43,COUNTIF($B$2:$B$261,B43),0)</f>
        <v>3</v>
      </c>
      <c r="F43" s="47" t="str">
        <f aca="false">IF(A43,Dates!J43,"")</f>
        <v>Apr</v>
      </c>
      <c r="G43" s="47" t="b">
        <f aca="false">AND(A43,OR(C43,F43&lt;&gt;F42))</f>
        <v>0</v>
      </c>
      <c r="H43" s="47" t="n">
        <f aca="false">IF(A43,COUNTIFS($B$2:$B$261,B43,$F$2:$F$261,F43),0)</f>
        <v>3</v>
      </c>
      <c r="I43" s="48" t="str">
        <f aca="false">IF(C43,"\multirow{"&amp;E43&amp;"}{*}{"&amp;B43&amp;"}","")</f>
        <v/>
      </c>
      <c r="J43" s="48" t="str">
        <f aca="false">IF(G43,IF(H43=1,F43,"\multirow{"&amp;H43&amp;"}{*}{"&amp;F43&amp;"}"),"")</f>
        <v/>
      </c>
      <c r="K43" s="48" t="str">
        <f aca="false">IF(A43,TEXT(Dates!K43,"00"),"")</f>
        <v>30</v>
      </c>
      <c r="L43" s="48" t="str">
        <f aca="false">IF(A43,Dates!H43&amp;IF(C43,Settings!$B$2,""),"")</f>
        <v>Fr</v>
      </c>
      <c r="M43" s="48" t="n">
        <f aca="false">IF(A43,IF(Schedule!I43="","",IF(ISNUMBER(Schedule!I43),IF(Schedule!I43&lt;10,Settings!$B$6&amp;TEXT(Schedule!I43,"#"),Schedule!I43),Schedule!I43)),"")</f>
        <v>30</v>
      </c>
      <c r="N43" s="48" t="str">
        <f aca="false">IF(A43,IF(Schedule!J43="","",Schedule!J43),"")</f>
        <v>Reflection and Refraction</v>
      </c>
      <c r="O43" s="48" t="str">
        <f aca="false">IF(A43,IF(AND(Settings!$B$14="longtable",NOT(D43)),Settings!$B$15,Settings!$B$3),"")</f>
        <v>\\</v>
      </c>
      <c r="P43" s="48" t="str">
        <f aca="false">IF(D43,Settings!$B$4,"")</f>
        <v>\hline</v>
      </c>
    </row>
    <row r="44" customFormat="false" ht="15" hidden="false" customHeight="false" outlineLevel="0" collapsed="false">
      <c r="A44" s="47" t="b">
        <f aca="false">AND(Dates!F44&lt;&gt;"",ROW()&lt;=Settings!$B$13)</f>
        <v>1</v>
      </c>
      <c r="B44" s="47" t="str">
        <f aca="false">IF(NOT(A44),"",IF(Dates!D44&lt;&gt;"",Dates!D44,IF(ROW()=2,"",B43)))</f>
        <v>W15</v>
      </c>
      <c r="C44" s="47" t="b">
        <f aca="false">AND(A44,OR(ROW()=2,B44&lt;&gt;B43))</f>
        <v>1</v>
      </c>
      <c r="D44" s="47" t="b">
        <f aca="false">AND(A44,OR(NOT(A45),B45&lt;&gt;B44))</f>
        <v>0</v>
      </c>
      <c r="E44" s="47" t="n">
        <f aca="false">IF(A44,COUNTIF($B$2:$B$261,B44),0)</f>
        <v>3</v>
      </c>
      <c r="F44" s="47" t="str">
        <f aca="false">IF(A44,Dates!J44,"")</f>
        <v>May</v>
      </c>
      <c r="G44" s="47" t="b">
        <f aca="false">AND(A44,OR(C44,F44&lt;&gt;F43))</f>
        <v>1</v>
      </c>
      <c r="H44" s="47" t="n">
        <f aca="false">IF(A44,COUNTIFS($B$2:$B$261,B44,$F$2:$F$261,F44),0)</f>
        <v>3</v>
      </c>
      <c r="I44" s="48" t="str">
        <f aca="false">IF(C44,"\multirow{"&amp;E44&amp;"}{*}{"&amp;B44&amp;"}","")</f>
        <v>\multirow{3}{*}{W15}</v>
      </c>
      <c r="J44" s="48" t="str">
        <f aca="false">IF(G44,IF(H44=1,F44,"\multirow{"&amp;H44&amp;"}{*}{"&amp;F44&amp;"}"),"")</f>
        <v>\multirow{3}{*}{May}</v>
      </c>
      <c r="K44" s="48" t="str">
        <f aca="false">IF(A44,TEXT(Dates!K44,"00"),"")</f>
        <v>03</v>
      </c>
      <c r="L44" s="48" t="str">
        <f aca="false">IF(A44,Dates!H44&amp;IF(C44,Settings!$B$2,""),"")</f>
        <v>Mo\rule{0pt}{11pt}</v>
      </c>
      <c r="M44" s="48" t="n">
        <f aca="false">IF(A44,IF(Schedule!I44="","",IF(ISNUMBER(Schedule!I44),IF(Schedule!I44&lt;10,Settings!$B$6&amp;TEXT(Schedule!I44,"#"),Schedule!I44),Schedule!I44)),"")</f>
        <v>31</v>
      </c>
      <c r="N44" s="48" t="str">
        <f aca="false">IF(A44,IF(Schedule!J44="","",Schedule!J44),"")</f>
        <v>Images and Optical Instruments</v>
      </c>
      <c r="O44" s="48" t="str">
        <f aca="false">IF(A44,IF(AND(Settings!$B$14="longtable",NOT(D44)),Settings!$B$15,Settings!$B$3),"")</f>
        <v>\\*</v>
      </c>
      <c r="P44" s="48" t="str">
        <f aca="false">IF(D44,Settings!$B$4,"")</f>
        <v/>
      </c>
    </row>
    <row r="45" customFormat="false" ht="15" hidden="false" customHeight="false" outlineLevel="0" collapsed="false">
      <c r="A45" s="47" t="b">
        <f aca="false">AND(Dates!F45&lt;&gt;"",ROW()&lt;=Settings!$B$13)</f>
        <v>1</v>
      </c>
      <c r="B45" s="47" t="str">
        <f aca="false">IF(NOT(A45),"",IF(Dates!D45&lt;&gt;"",Dates!D45,IF(ROW()=2,"",B44)))</f>
        <v>W15</v>
      </c>
      <c r="C45" s="47" t="b">
        <f aca="false">AND(A45,OR(ROW()=2,B45&lt;&gt;B44))</f>
        <v>0</v>
      </c>
      <c r="D45" s="47" t="b">
        <f aca="false">AND(A45,OR(NOT(A46),B46&lt;&gt;B45))</f>
        <v>0</v>
      </c>
      <c r="E45" s="47" t="n">
        <f aca="false">IF(A45,COUNTIF($B$2:$B$261,B45),0)</f>
        <v>3</v>
      </c>
      <c r="F45" s="47" t="str">
        <f aca="false">IF(A45,Dates!J45,"")</f>
        <v>May</v>
      </c>
      <c r="G45" s="47" t="b">
        <f aca="false">AND(A45,OR(C45,F45&lt;&gt;F44))</f>
        <v>0</v>
      </c>
      <c r="H45" s="47" t="n">
        <f aca="false">IF(A45,COUNTIFS($B$2:$B$261,B45,$F$2:$F$261,F45),0)</f>
        <v>3</v>
      </c>
      <c r="I45" s="48" t="str">
        <f aca="false">IF(C45,"\multirow{"&amp;E45&amp;"}{*}{"&amp;B45&amp;"}","")</f>
        <v/>
      </c>
      <c r="J45" s="48" t="str">
        <f aca="false">IF(G45,IF(H45=1,F45,"\multirow{"&amp;H45&amp;"}{*}{"&amp;F45&amp;"}"),"")</f>
        <v/>
      </c>
      <c r="K45" s="48" t="str">
        <f aca="false">IF(A45,TEXT(Dates!K45,"00"),"")</f>
        <v>05</v>
      </c>
      <c r="L45" s="48" t="str">
        <f aca="false">IF(A45,Dates!H45&amp;IF(C45,Settings!$B$2,""),"")</f>
        <v>We</v>
      </c>
      <c r="M45" s="48" t="n">
        <f aca="false">IF(A45,IF(Schedule!I45="","",IF(ISNUMBER(Schedule!I45),IF(Schedule!I45&lt;10,Settings!$B$6&amp;TEXT(Schedule!I45,"#"),Schedule!I45),Schedule!I45)),"")</f>
        <v>31</v>
      </c>
      <c r="N45" s="48" t="str">
        <f aca="false">IF(A45,IF(Schedule!J45="","",Schedule!J45),"")</f>
        <v>Images and Optical Instruments</v>
      </c>
      <c r="O45" s="48" t="str">
        <f aca="false">IF(A45,IF(AND(Settings!$B$14="longtable",NOT(D45)),Settings!$B$15,Settings!$B$3),"")</f>
        <v>\\*</v>
      </c>
      <c r="P45" s="48" t="str">
        <f aca="false">IF(D45,Settings!$B$4,"")</f>
        <v/>
      </c>
    </row>
    <row r="46" customFormat="false" ht="15" hidden="false" customHeight="false" outlineLevel="0" collapsed="false">
      <c r="A46" s="47" t="b">
        <f aca="false">AND(Dates!F46&lt;&gt;"",ROW()&lt;=Settings!$B$13)</f>
        <v>1</v>
      </c>
      <c r="B46" s="47" t="str">
        <f aca="false">IF(NOT(A46),"",IF(Dates!D46&lt;&gt;"",Dates!D46,IF(ROW()=2,"",B45)))</f>
        <v>W15</v>
      </c>
      <c r="C46" s="47" t="b">
        <f aca="false">AND(A46,OR(ROW()=2,B46&lt;&gt;B45))</f>
        <v>0</v>
      </c>
      <c r="D46" s="47" t="b">
        <f aca="false">AND(A46,OR(NOT(A47),B47&lt;&gt;B46))</f>
        <v>1</v>
      </c>
      <c r="E46" s="47" t="n">
        <f aca="false">IF(A46,COUNTIF($B$2:$B$261,B46),0)</f>
        <v>3</v>
      </c>
      <c r="F46" s="47" t="str">
        <f aca="false">IF(A46,Dates!J46,"")</f>
        <v>May</v>
      </c>
      <c r="G46" s="47" t="b">
        <f aca="false">AND(A46,OR(C46,F46&lt;&gt;F45))</f>
        <v>0</v>
      </c>
      <c r="H46" s="47" t="n">
        <f aca="false">IF(A46,COUNTIFS($B$2:$B$261,B46,$F$2:$F$261,F46),0)</f>
        <v>3</v>
      </c>
      <c r="I46" s="48" t="str">
        <f aca="false">IF(C46,"\multirow{"&amp;E46&amp;"}{*}{"&amp;B46&amp;"}","")</f>
        <v/>
      </c>
      <c r="J46" s="48" t="str">
        <f aca="false">IF(G46,IF(H46=1,F46,"\multirow{"&amp;H46&amp;"}{*}{"&amp;F46&amp;"}"),"")</f>
        <v/>
      </c>
      <c r="K46" s="48" t="str">
        <f aca="false">IF(A46,TEXT(Dates!K46,"00"),"")</f>
        <v>07</v>
      </c>
      <c r="L46" s="48" t="str">
        <f aca="false">IF(A46,Dates!H46&amp;IF(C46,Settings!$B$2,""),"")</f>
        <v>Fr</v>
      </c>
      <c r="M46" s="48" t="n">
        <f aca="false">IF(A46,IF(Schedule!I46="","",IF(ISNUMBER(Schedule!I46),IF(Schedule!I46&lt;10,Settings!$B$6&amp;TEXT(Schedule!I46,"#"),Schedule!I46),Schedule!I46)),"")</f>
        <v>32</v>
      </c>
      <c r="N46" s="48" t="str">
        <f aca="false">IF(A46,IF(Schedule!J46="","",Schedule!J46),"")</f>
        <v> Interference and Diffraction</v>
      </c>
      <c r="O46" s="48" t="str">
        <f aca="false">IF(A46,IF(AND(Settings!$B$14="longtable",NOT(D46)),Settings!$B$15,Settings!$B$3),"")</f>
        <v>\\</v>
      </c>
      <c r="P46" s="48" t="str">
        <f aca="false">IF(D46,Settings!$B$4,"")</f>
        <v>\hline</v>
      </c>
    </row>
    <row r="47" customFormat="false" ht="15" hidden="false" customHeight="false" outlineLevel="0" collapsed="false">
      <c r="A47" s="47" t="b">
        <f aca="false">AND(Dates!F47&lt;&gt;"",ROW()&lt;=Settings!$B$13)</f>
        <v>1</v>
      </c>
      <c r="B47" s="47" t="str">
        <f aca="false">IF(NOT(A47),"",IF(Dates!D47&lt;&gt;"",Dates!D47,IF(ROW()=2,"",B46)))</f>
        <v>W16</v>
      </c>
      <c r="C47" s="47" t="b">
        <f aca="false">AND(A47,OR(ROW()=2,B47&lt;&gt;B46))</f>
        <v>1</v>
      </c>
      <c r="D47" s="47" t="b">
        <f aca="false">AND(A47,OR(NOT(A48),B48&lt;&gt;B47))</f>
        <v>0</v>
      </c>
      <c r="E47" s="47" t="n">
        <f aca="false">IF(A47,COUNTIF($B$2:$B$261,B47),0)</f>
        <v>2</v>
      </c>
      <c r="F47" s="47" t="str">
        <f aca="false">IF(A47,Dates!J47,"")</f>
        <v>May</v>
      </c>
      <c r="G47" s="47" t="b">
        <f aca="false">AND(A47,OR(C47,F47&lt;&gt;F46))</f>
        <v>1</v>
      </c>
      <c r="H47" s="47" t="n">
        <f aca="false">IF(A47,COUNTIFS($B$2:$B$261,B47,$F$2:$F$261,F47),0)</f>
        <v>2</v>
      </c>
      <c r="I47" s="48" t="str">
        <f aca="false">IF(C47,"\multirow{"&amp;E47&amp;"}{*}{"&amp;B47&amp;"}","")</f>
        <v>\multirow{2}{*}{W16}</v>
      </c>
      <c r="J47" s="48" t="str">
        <f aca="false">IF(G47,IF(H47=1,F47,"\multirow{"&amp;H47&amp;"}{*}{"&amp;F47&amp;"}"),"")</f>
        <v>\multirow{2}{*}{May}</v>
      </c>
      <c r="K47" s="48" t="str">
        <f aca="false">IF(A47,TEXT(Dates!K47,"00"),"")</f>
        <v>10</v>
      </c>
      <c r="L47" s="48" t="str">
        <f aca="false">IF(A47,Dates!H47&amp;IF(C47,Settings!$B$2,""),"")</f>
        <v>Mo\rule{0pt}{11pt}</v>
      </c>
      <c r="M47" s="48" t="n">
        <f aca="false">IF(A47,IF(Schedule!I47="","",IF(ISNUMBER(Schedule!I47),IF(Schedule!I47&lt;10,Settings!$B$6&amp;TEXT(Schedule!I47,"#"),Schedule!I47),Schedule!I47)),"")</f>
        <v>32</v>
      </c>
      <c r="N47" s="48" t="str">
        <f aca="false">IF(A47,IF(Schedule!J47="","",Schedule!J47),"")</f>
        <v> Interference and Diffraction</v>
      </c>
      <c r="O47" s="48" t="str">
        <f aca="false">IF(A47,IF(AND(Settings!$B$14="longtable",NOT(D47)),Settings!$B$15,Settings!$B$3),"")</f>
        <v>\\*</v>
      </c>
      <c r="P47" s="48" t="str">
        <f aca="false">IF(D47,Settings!$B$4,"")</f>
        <v/>
      </c>
    </row>
    <row r="48" customFormat="false" ht="15" hidden="false" customHeight="false" outlineLevel="0" collapsed="false">
      <c r="A48" s="47" t="b">
        <f aca="false">AND(Dates!F48&lt;&gt;"",ROW()&lt;=Settings!$B$13)</f>
        <v>1</v>
      </c>
      <c r="B48" s="47" t="str">
        <f aca="false">IF(NOT(A48),"",IF(Dates!D48&lt;&gt;"",Dates!D48,IF(ROW()=2,"",B47)))</f>
        <v>W16</v>
      </c>
      <c r="C48" s="47" t="b">
        <f aca="false">AND(A48,OR(ROW()=2,B48&lt;&gt;B47))</f>
        <v>0</v>
      </c>
      <c r="D48" s="47" t="b">
        <f aca="false">AND(A48,OR(NOT(A49),B49&lt;&gt;B48))</f>
        <v>1</v>
      </c>
      <c r="E48" s="47" t="n">
        <f aca="false">IF(A48,COUNTIF($B$2:$B$261,B48),0)</f>
        <v>2</v>
      </c>
      <c r="F48" s="47" t="str">
        <f aca="false">IF(A48,Dates!J48,"")</f>
        <v>May</v>
      </c>
      <c r="G48" s="47" t="b">
        <f aca="false">AND(A48,OR(C48,F48&lt;&gt;F47))</f>
        <v>0</v>
      </c>
      <c r="H48" s="47" t="n">
        <f aca="false">IF(A48,COUNTIFS($B$2:$B$261,B48,$F$2:$F$261,F48),0)</f>
        <v>2</v>
      </c>
      <c r="I48" s="48" t="str">
        <f aca="false">IF(C48,"\multirow{"&amp;E48&amp;"}{*}{"&amp;B48&amp;"}","")</f>
        <v/>
      </c>
      <c r="J48" s="48" t="str">
        <f aca="false">IF(G48,IF(H48=1,F48,"\multirow{"&amp;H48&amp;"}{*}{"&amp;F48&amp;"}"),"")</f>
        <v/>
      </c>
      <c r="K48" s="48" t="str">
        <f aca="false">IF(A48,TEXT(Dates!K48,"00"),"")</f>
        <v>12</v>
      </c>
      <c r="L48" s="48" t="str">
        <f aca="false">IF(A48,Dates!H48&amp;IF(C48,Settings!$B$2,""),"")</f>
        <v>We</v>
      </c>
      <c r="M48" s="48" t="n">
        <f aca="false">IF(A48,IF(Schedule!I48="","",IF(ISNUMBER(Schedule!I48),IF(Schedule!I48&lt;10,Settings!$B$6&amp;TEXT(Schedule!I48,"#"),Schedule!I48),Schedule!I48)),"")</f>
        <v>32</v>
      </c>
      <c r="N48" s="48" t="str">
        <f aca="false">IF(A48,IF(Schedule!J48="","",Schedule!J48),"")</f>
        <v> Interference and Diffraction</v>
      </c>
      <c r="O48" s="48" t="str">
        <f aca="false">IF(A48,IF(AND(Settings!$B$14="longtable",NOT(D48)),Settings!$B$15,Settings!$B$3),"")</f>
        <v>\\</v>
      </c>
      <c r="P48" s="48" t="str">
        <f aca="false">IF(D48,Settings!$B$4,"")</f>
        <v>\hline</v>
      </c>
    </row>
    <row r="49" customFormat="false" ht="15" hidden="false" customHeight="false" outlineLevel="0" collapsed="false">
      <c r="A49" s="47" t="b">
        <f aca="false">AND(Dates!F49&lt;&gt;"",ROW()&lt;=Settings!$B$13)</f>
        <v>0</v>
      </c>
      <c r="B49" s="47" t="str">
        <f aca="false">IF(NOT(A49),"",IF(Dates!D49&lt;&gt;"",Dates!D49,IF(ROW()=2,"",B48)))</f>
        <v/>
      </c>
      <c r="C49" s="47" t="b">
        <f aca="false">AND(A49,OR(ROW()=2,B49&lt;&gt;B48))</f>
        <v>0</v>
      </c>
      <c r="D49" s="47" t="b">
        <f aca="false">AND(A49,OR(NOT(A50),B50&lt;&gt;B49))</f>
        <v>0</v>
      </c>
      <c r="E49" s="47" t="n">
        <f aca="false">IF(A49,COUNTIF($B$2:$B$261,B49),0)</f>
        <v>0</v>
      </c>
      <c r="F49" s="47" t="str">
        <f aca="false">IF(A49,Dates!J49,"")</f>
        <v/>
      </c>
      <c r="G49" s="47" t="b">
        <f aca="false">AND(A49,OR(C49,F49&lt;&gt;F48))</f>
        <v>0</v>
      </c>
      <c r="H49" s="47" t="n">
        <f aca="false">IF(A49,COUNTIFS($B$2:$B$261,B49,$F$2:$F$261,F49),0)</f>
        <v>0</v>
      </c>
      <c r="I49" s="48" t="str">
        <f aca="false">IF(C49,"\multirow{"&amp;E49&amp;"}{*}{"&amp;B49&amp;"}","")</f>
        <v/>
      </c>
      <c r="J49" s="48" t="str">
        <f aca="false">IF(G49,IF(H49=1,F49,"\multirow{"&amp;H49&amp;"}{*}{"&amp;F49&amp;"}"),"")</f>
        <v/>
      </c>
      <c r="K49" s="48" t="str">
        <f aca="false">IF(A49,TEXT(Dates!K49,"00"),"")</f>
        <v/>
      </c>
      <c r="L49" s="48" t="str">
        <f aca="false">IF(A49,Dates!H49&amp;IF(C49,Settings!$B$2,""),"")</f>
        <v/>
      </c>
      <c r="M49" s="48" t="str">
        <f aca="false">IF(A49,IF(Schedule!I49="","",IF(ISNUMBER(Schedule!I49),IF(Schedule!I49&lt;10,Settings!$B$6&amp;TEXT(Schedule!I49,"#"),Schedule!I49),Schedule!I49)),"")</f>
        <v/>
      </c>
      <c r="N49" s="48" t="str">
        <f aca="false">IF(A49,IF(Schedule!J49="","",Schedule!J49),"")</f>
        <v/>
      </c>
      <c r="O49" s="48" t="str">
        <f aca="false">IF(A49,IF(AND(Settings!$B$14="longtable",NOT(D49)),Settings!$B$15,Settings!$B$3),"")</f>
        <v/>
      </c>
      <c r="P49" s="48" t="str">
        <f aca="false">IF(D49,Settings!$B$4,"")</f>
        <v/>
      </c>
    </row>
    <row r="50" customFormat="false" ht="15" hidden="false" customHeight="false" outlineLevel="0" collapsed="false">
      <c r="A50" s="47" t="b">
        <f aca="false">AND(Dates!F50&lt;&gt;"",ROW()&lt;=Settings!$B$13)</f>
        <v>0</v>
      </c>
      <c r="B50" s="47" t="str">
        <f aca="false">IF(NOT(A50),"",IF(Dates!D50&lt;&gt;"",Dates!D50,IF(ROW()=2,"",B49)))</f>
        <v/>
      </c>
      <c r="C50" s="47" t="b">
        <f aca="false">AND(A50,OR(ROW()=2,B50&lt;&gt;B49))</f>
        <v>0</v>
      </c>
      <c r="D50" s="47" t="b">
        <f aca="false">AND(A50,OR(NOT(A51),B51&lt;&gt;B50))</f>
        <v>0</v>
      </c>
      <c r="E50" s="47" t="n">
        <f aca="false">IF(A50,COUNTIF($B$2:$B$261,B50),0)</f>
        <v>0</v>
      </c>
      <c r="F50" s="47" t="str">
        <f aca="false">IF(A50,Dates!J50,"")</f>
        <v/>
      </c>
      <c r="G50" s="47" t="b">
        <f aca="false">AND(A50,OR(C50,F50&lt;&gt;F49))</f>
        <v>0</v>
      </c>
      <c r="H50" s="47" t="n">
        <f aca="false">IF(A50,COUNTIFS($B$2:$B$261,B50,$F$2:$F$261,F50),0)</f>
        <v>0</v>
      </c>
      <c r="I50" s="48" t="str">
        <f aca="false">IF(C50,"\multirow{"&amp;E50&amp;"}{*}{"&amp;B50&amp;"}","")</f>
        <v/>
      </c>
      <c r="J50" s="48" t="str">
        <f aca="false">IF(G50,IF(H50=1,F50,"\multirow{"&amp;H50&amp;"}{*}{"&amp;F50&amp;"}"),"")</f>
        <v/>
      </c>
      <c r="K50" s="48" t="str">
        <f aca="false">IF(A50,TEXT(Dates!K50,"00"),"")</f>
        <v/>
      </c>
      <c r="L50" s="48" t="str">
        <f aca="false">IF(A50,Dates!H50&amp;IF(C50,Settings!$B$2,""),"")</f>
        <v/>
      </c>
      <c r="M50" s="48" t="str">
        <f aca="false">IF(A50,IF(Schedule!I50="","",IF(ISNUMBER(Schedule!I50),IF(Schedule!I50&lt;10,Settings!$B$6&amp;TEXT(Schedule!I50,"#"),Schedule!I50),Schedule!I50)),"")</f>
        <v/>
      </c>
      <c r="N50" s="48" t="str">
        <f aca="false">IF(A50,IF(Schedule!J50="","",Schedule!J50),"")</f>
        <v/>
      </c>
      <c r="O50" s="48" t="str">
        <f aca="false">IF(A50,IF(AND(Settings!$B$14="longtable",NOT(D50)),Settings!$B$15,Settings!$B$3),"")</f>
        <v/>
      </c>
      <c r="P50" s="48" t="str">
        <f aca="false">IF(D50,Settings!$B$4,"")</f>
        <v/>
      </c>
    </row>
    <row r="51" customFormat="false" ht="15" hidden="false" customHeight="false" outlineLevel="0" collapsed="false">
      <c r="A51" s="47" t="b">
        <f aca="false">AND(Dates!F51&lt;&gt;"",ROW()&lt;=Settings!$B$13)</f>
        <v>0</v>
      </c>
      <c r="B51" s="47" t="str">
        <f aca="false">IF(NOT(A51),"",IF(Dates!D51&lt;&gt;"",Dates!D51,IF(ROW()=2,"",B50)))</f>
        <v/>
      </c>
      <c r="C51" s="47" t="b">
        <f aca="false">AND(A51,OR(ROW()=2,B51&lt;&gt;B50))</f>
        <v>0</v>
      </c>
      <c r="D51" s="47" t="b">
        <f aca="false">AND(A51,OR(NOT(A52),B52&lt;&gt;B51))</f>
        <v>0</v>
      </c>
      <c r="E51" s="47" t="n">
        <f aca="false">IF(A51,COUNTIF($B$2:$B$261,B51),0)</f>
        <v>0</v>
      </c>
      <c r="F51" s="47" t="str">
        <f aca="false">IF(A51,Dates!J51,"")</f>
        <v/>
      </c>
      <c r="G51" s="47" t="b">
        <f aca="false">AND(A51,OR(C51,F51&lt;&gt;F50))</f>
        <v>0</v>
      </c>
      <c r="H51" s="47" t="n">
        <f aca="false">IF(A51,COUNTIFS($B$2:$B$261,B51,$F$2:$F$261,F51),0)</f>
        <v>0</v>
      </c>
      <c r="I51" s="48" t="str">
        <f aca="false">IF(C51,"\multirow{"&amp;E51&amp;"}{*}{"&amp;B51&amp;"}","")</f>
        <v/>
      </c>
      <c r="J51" s="48" t="str">
        <f aca="false">IF(G51,IF(H51=1,F51,"\multirow{"&amp;H51&amp;"}{*}{"&amp;F51&amp;"}"),"")</f>
        <v/>
      </c>
      <c r="K51" s="48" t="str">
        <f aca="false">IF(A51,TEXT(Dates!K51,"00"),"")</f>
        <v/>
      </c>
      <c r="L51" s="48" t="str">
        <f aca="false">IF(A51,Dates!H51&amp;IF(C51,Settings!$B$2,""),"")</f>
        <v/>
      </c>
      <c r="M51" s="48" t="str">
        <f aca="false">IF(A51,IF(Schedule!I51="","",IF(ISNUMBER(Schedule!I51),IF(Schedule!I51&lt;10,Settings!$B$6&amp;TEXT(Schedule!I51,"#"),Schedule!I51),Schedule!I51)),"")</f>
        <v/>
      </c>
      <c r="N51" s="48" t="str">
        <f aca="false">IF(A51,IF(Schedule!J51="","",Schedule!J51),"")</f>
        <v/>
      </c>
      <c r="O51" s="48" t="str">
        <f aca="false">IF(A51,IF(AND(Settings!$B$14="longtable",NOT(D51)),Settings!$B$15,Settings!$B$3),"")</f>
        <v/>
      </c>
      <c r="P51" s="48" t="str">
        <f aca="false">IF(D51,Settings!$B$4,"")</f>
        <v/>
      </c>
    </row>
    <row r="52" customFormat="false" ht="15" hidden="false" customHeight="false" outlineLevel="0" collapsed="false">
      <c r="A52" s="47" t="b">
        <f aca="false">AND(Dates!F52&lt;&gt;"",ROW()&lt;=Settings!$B$13)</f>
        <v>0</v>
      </c>
      <c r="B52" s="47" t="str">
        <f aca="false">IF(NOT(A52),"",IF(Dates!D52&lt;&gt;"",Dates!D52,IF(ROW()=2,"",B51)))</f>
        <v/>
      </c>
      <c r="C52" s="47" t="b">
        <f aca="false">AND(A52,OR(ROW()=2,B52&lt;&gt;B51))</f>
        <v>0</v>
      </c>
      <c r="D52" s="47" t="b">
        <f aca="false">AND(A52,OR(NOT(A53),B53&lt;&gt;B52))</f>
        <v>0</v>
      </c>
      <c r="E52" s="47" t="n">
        <f aca="false">IF(A52,COUNTIF($B$2:$B$261,B52),0)</f>
        <v>0</v>
      </c>
      <c r="F52" s="47" t="str">
        <f aca="false">IF(A52,Dates!J52,"")</f>
        <v/>
      </c>
      <c r="G52" s="47" t="b">
        <f aca="false">AND(A52,OR(C52,F52&lt;&gt;F51))</f>
        <v>0</v>
      </c>
      <c r="H52" s="47" t="n">
        <f aca="false">IF(A52,COUNTIFS($B$2:$B$261,B52,$F$2:$F$261,F52),0)</f>
        <v>0</v>
      </c>
      <c r="I52" s="48" t="str">
        <f aca="false">IF(C52,"\multirow{"&amp;E52&amp;"}{*}{"&amp;B52&amp;"}","")</f>
        <v/>
      </c>
      <c r="J52" s="48" t="str">
        <f aca="false">IF(G52,IF(H52=1,F52,"\multirow{"&amp;H52&amp;"}{*}{"&amp;F52&amp;"}"),"")</f>
        <v/>
      </c>
      <c r="K52" s="48" t="str">
        <f aca="false">IF(A52,TEXT(Dates!K52,"00"),"")</f>
        <v/>
      </c>
      <c r="L52" s="48" t="str">
        <f aca="false">IF(A52,Dates!H52&amp;IF(C52,Settings!$B$2,""),"")</f>
        <v/>
      </c>
      <c r="M52" s="48" t="str">
        <f aca="false">IF(A52,IF(Schedule!I52="","",IF(ISNUMBER(Schedule!I52),IF(Schedule!I52&lt;10,Settings!$B$6&amp;TEXT(Schedule!I52,"#"),Schedule!I52),Schedule!I52)),"")</f>
        <v/>
      </c>
      <c r="N52" s="48" t="str">
        <f aca="false">IF(A52,IF(Schedule!J52="","",Schedule!J52),"")</f>
        <v/>
      </c>
      <c r="O52" s="48" t="str">
        <f aca="false">IF(A52,IF(AND(Settings!$B$14="longtable",NOT(D52)),Settings!$B$15,Settings!$B$3),"")</f>
        <v/>
      </c>
      <c r="P52" s="48" t="str">
        <f aca="false">IF(D52,Settings!$B$4,"")</f>
        <v/>
      </c>
    </row>
    <row r="53" customFormat="false" ht="15" hidden="false" customHeight="false" outlineLevel="0" collapsed="false">
      <c r="A53" s="47" t="b">
        <f aca="false">AND(Dates!F53&lt;&gt;"",ROW()&lt;=Settings!$B$13)</f>
        <v>0</v>
      </c>
      <c r="B53" s="47" t="str">
        <f aca="false">IF(NOT(A53),"",IF(Dates!D53&lt;&gt;"",Dates!D53,IF(ROW()=2,"",B52)))</f>
        <v/>
      </c>
      <c r="C53" s="47" t="b">
        <f aca="false">AND(A53,OR(ROW()=2,B53&lt;&gt;B52))</f>
        <v>0</v>
      </c>
      <c r="D53" s="47" t="b">
        <f aca="false">AND(A53,OR(NOT(A54),B54&lt;&gt;B53))</f>
        <v>0</v>
      </c>
      <c r="E53" s="47" t="n">
        <f aca="false">IF(A53,COUNTIF($B$2:$B$261,B53),0)</f>
        <v>0</v>
      </c>
      <c r="F53" s="47" t="str">
        <f aca="false">IF(A53,Dates!J53,"")</f>
        <v/>
      </c>
      <c r="G53" s="47" t="b">
        <f aca="false">AND(A53,OR(C53,F53&lt;&gt;F52))</f>
        <v>0</v>
      </c>
      <c r="H53" s="47" t="n">
        <f aca="false">IF(A53,COUNTIFS($B$2:$B$261,B53,$F$2:$F$261,F53),0)</f>
        <v>0</v>
      </c>
      <c r="I53" s="48" t="str">
        <f aca="false">IF(C53,"\multirow{"&amp;E53&amp;"}{*}{"&amp;B53&amp;"}","")</f>
        <v/>
      </c>
      <c r="J53" s="48" t="str">
        <f aca="false">IF(G53,IF(H53=1,F53,"\multirow{"&amp;H53&amp;"}{*}{"&amp;F53&amp;"}"),"")</f>
        <v/>
      </c>
      <c r="K53" s="48" t="str">
        <f aca="false">IF(A53,TEXT(Dates!K53,"00"),"")</f>
        <v/>
      </c>
      <c r="L53" s="48" t="str">
        <f aca="false">IF(A53,Dates!H53&amp;IF(C53,Settings!$B$2,""),"")</f>
        <v/>
      </c>
      <c r="M53" s="48" t="str">
        <f aca="false">IF(A53,IF(Schedule!I53="","",IF(ISNUMBER(Schedule!I53),IF(Schedule!I53&lt;10,Settings!$B$6&amp;TEXT(Schedule!I53,"#"),Schedule!I53),Schedule!I53)),"")</f>
        <v/>
      </c>
      <c r="N53" s="48" t="str">
        <f aca="false">IF(A53,IF(Schedule!J53="","",Schedule!J53),"")</f>
        <v/>
      </c>
      <c r="O53" s="48" t="str">
        <f aca="false">IF(A53,IF(AND(Settings!$B$14="longtable",NOT(D53)),Settings!$B$15,Settings!$B$3),"")</f>
        <v/>
      </c>
      <c r="P53" s="48" t="str">
        <f aca="false">IF(D53,Settings!$B$4,"")</f>
        <v/>
      </c>
    </row>
    <row r="54" customFormat="false" ht="15" hidden="false" customHeight="false" outlineLevel="0" collapsed="false">
      <c r="A54" s="47" t="b">
        <f aca="false">AND(Dates!F54&lt;&gt;"",ROW()&lt;=Settings!$B$13)</f>
        <v>0</v>
      </c>
      <c r="B54" s="47" t="str">
        <f aca="false">IF(NOT(A54),"",IF(Dates!D54&lt;&gt;"",Dates!D54,IF(ROW()=2,"",B53)))</f>
        <v/>
      </c>
      <c r="C54" s="47" t="b">
        <f aca="false">AND(A54,OR(ROW()=2,B54&lt;&gt;B53))</f>
        <v>0</v>
      </c>
      <c r="D54" s="47" t="b">
        <f aca="false">AND(A54,OR(NOT(A55),B55&lt;&gt;B54))</f>
        <v>0</v>
      </c>
      <c r="E54" s="47" t="n">
        <f aca="false">IF(A54,COUNTIF($B$2:$B$261,B54),0)</f>
        <v>0</v>
      </c>
      <c r="F54" s="47" t="str">
        <f aca="false">IF(A54,Dates!J54,"")</f>
        <v/>
      </c>
      <c r="G54" s="47" t="b">
        <f aca="false">AND(A54,OR(C54,F54&lt;&gt;F53))</f>
        <v>0</v>
      </c>
      <c r="H54" s="47" t="n">
        <f aca="false">IF(A54,COUNTIFS($B$2:$B$261,B54,$F$2:$F$261,F54),0)</f>
        <v>0</v>
      </c>
      <c r="I54" s="48" t="str">
        <f aca="false">IF(C54,"\multirow{"&amp;E54&amp;"}{*}{"&amp;B54&amp;"}","")</f>
        <v/>
      </c>
      <c r="J54" s="48" t="str">
        <f aca="false">IF(G54,IF(H54=1,F54,"\multirow{"&amp;H54&amp;"}{*}{"&amp;F54&amp;"}"),"")</f>
        <v/>
      </c>
      <c r="K54" s="48" t="str">
        <f aca="false">IF(A54,TEXT(Dates!K54,"00"),"")</f>
        <v/>
      </c>
      <c r="L54" s="48" t="str">
        <f aca="false">IF(A54,Dates!H54&amp;IF(C54,Settings!$B$2,""),"")</f>
        <v/>
      </c>
      <c r="M54" s="48" t="str">
        <f aca="false">IF(A54,IF(Schedule!I54="","",IF(ISNUMBER(Schedule!I54),IF(Schedule!I54&lt;10,Settings!$B$6&amp;TEXT(Schedule!I54,"#"),Schedule!I54),Schedule!I54)),"")</f>
        <v/>
      </c>
      <c r="N54" s="48" t="str">
        <f aca="false">IF(A54,IF(Schedule!J54="","",Schedule!J54),"")</f>
        <v/>
      </c>
      <c r="O54" s="48" t="str">
        <f aca="false">IF(A54,IF(AND(Settings!$B$14="longtable",NOT(D54)),Settings!$B$15,Settings!$B$3),"")</f>
        <v/>
      </c>
      <c r="P54" s="48" t="str">
        <f aca="false">IF(D54,Settings!$B$4,"")</f>
        <v/>
      </c>
    </row>
    <row r="55" customFormat="false" ht="15" hidden="false" customHeight="false" outlineLevel="0" collapsed="false">
      <c r="A55" s="47" t="b">
        <f aca="false">AND(Dates!F55&lt;&gt;"",ROW()&lt;=Settings!$B$13)</f>
        <v>0</v>
      </c>
      <c r="B55" s="47" t="str">
        <f aca="false">IF(NOT(A55),"",IF(Dates!D55&lt;&gt;"",Dates!D55,IF(ROW()=2,"",B54)))</f>
        <v/>
      </c>
      <c r="C55" s="47" t="b">
        <f aca="false">AND(A55,OR(ROW()=2,B55&lt;&gt;B54))</f>
        <v>0</v>
      </c>
      <c r="D55" s="47" t="b">
        <f aca="false">AND(A55,OR(NOT(A56),B56&lt;&gt;B55))</f>
        <v>0</v>
      </c>
      <c r="E55" s="47" t="n">
        <f aca="false">IF(A55,COUNTIF($B$2:$B$261,B55),0)</f>
        <v>0</v>
      </c>
      <c r="F55" s="47" t="str">
        <f aca="false">IF(A55,Dates!J55,"")</f>
        <v/>
      </c>
      <c r="G55" s="47" t="b">
        <f aca="false">AND(A55,OR(C55,F55&lt;&gt;F54))</f>
        <v>0</v>
      </c>
      <c r="H55" s="47" t="n">
        <f aca="false">IF(A55,COUNTIFS($B$2:$B$261,B55,$F$2:$F$261,F55),0)</f>
        <v>0</v>
      </c>
      <c r="I55" s="48" t="str">
        <f aca="false">IF(C55,"\multirow{"&amp;E55&amp;"}{*}{"&amp;B55&amp;"}","")</f>
        <v/>
      </c>
      <c r="J55" s="48" t="str">
        <f aca="false">IF(G55,IF(H55=1,F55,"\multirow{"&amp;H55&amp;"}{*}{"&amp;F55&amp;"}"),"")</f>
        <v/>
      </c>
      <c r="K55" s="48" t="str">
        <f aca="false">IF(A55,TEXT(Dates!K55,"00"),"")</f>
        <v/>
      </c>
      <c r="L55" s="48" t="str">
        <f aca="false">IF(A55,Dates!H55&amp;IF(C55,Settings!$B$2,""),"")</f>
        <v/>
      </c>
      <c r="M55" s="48" t="str">
        <f aca="false">IF(A55,IF(Schedule!I55="","",IF(ISNUMBER(Schedule!I55),IF(Schedule!I55&lt;10,Settings!$B$6&amp;TEXT(Schedule!I55,"#"),Schedule!I55),Schedule!I55)),"")</f>
        <v/>
      </c>
      <c r="N55" s="48" t="str">
        <f aca="false">IF(A55,IF(Schedule!J55="","",Schedule!J55),"")</f>
        <v/>
      </c>
      <c r="O55" s="48" t="str">
        <f aca="false">IF(A55,IF(AND(Settings!$B$14="longtable",NOT(D55)),Settings!$B$15,Settings!$B$3),"")</f>
        <v/>
      </c>
      <c r="P55" s="48" t="str">
        <f aca="false">IF(D55,Settings!$B$4,"")</f>
        <v/>
      </c>
    </row>
    <row r="56" customFormat="false" ht="15" hidden="false" customHeight="false" outlineLevel="0" collapsed="false">
      <c r="A56" s="47" t="b">
        <f aca="false">AND(Dates!F56&lt;&gt;"",ROW()&lt;=Settings!$B$13)</f>
        <v>0</v>
      </c>
      <c r="B56" s="47" t="str">
        <f aca="false">IF(NOT(A56),"",IF(Dates!D56&lt;&gt;"",Dates!D56,IF(ROW()=2,"",B55)))</f>
        <v/>
      </c>
      <c r="C56" s="47" t="b">
        <f aca="false">AND(A56,OR(ROW()=2,B56&lt;&gt;B55))</f>
        <v>0</v>
      </c>
      <c r="D56" s="47" t="b">
        <f aca="false">AND(A56,OR(NOT(A57),B57&lt;&gt;B56))</f>
        <v>0</v>
      </c>
      <c r="E56" s="47" t="n">
        <f aca="false">IF(A56,COUNTIF($B$2:$B$261,B56),0)</f>
        <v>0</v>
      </c>
      <c r="F56" s="47" t="str">
        <f aca="false">IF(A56,Dates!J56,"")</f>
        <v/>
      </c>
      <c r="G56" s="47" t="b">
        <f aca="false">AND(A56,OR(C56,F56&lt;&gt;F55))</f>
        <v>0</v>
      </c>
      <c r="H56" s="47" t="n">
        <f aca="false">IF(A56,COUNTIFS($B$2:$B$261,B56,$F$2:$F$261,F56),0)</f>
        <v>0</v>
      </c>
      <c r="I56" s="48" t="str">
        <f aca="false">IF(C56,"\multirow{"&amp;E56&amp;"}{*}{"&amp;B56&amp;"}","")</f>
        <v/>
      </c>
      <c r="J56" s="48" t="str">
        <f aca="false">IF(G56,IF(H56=1,F56,"\multirow{"&amp;H56&amp;"}{*}{"&amp;F56&amp;"}"),"")</f>
        <v/>
      </c>
      <c r="K56" s="48" t="str">
        <f aca="false">IF(A56,TEXT(Dates!K56,"00"),"")</f>
        <v/>
      </c>
      <c r="L56" s="48" t="str">
        <f aca="false">IF(A56,Dates!H56&amp;IF(C56,Settings!$B$2,""),"")</f>
        <v/>
      </c>
      <c r="M56" s="48" t="str">
        <f aca="false">IF(A56,IF(Schedule!I56="","",IF(ISNUMBER(Schedule!I56),IF(Schedule!I56&lt;10,Settings!$B$6&amp;TEXT(Schedule!I56,"#"),Schedule!I56),Schedule!I56)),"")</f>
        <v/>
      </c>
      <c r="N56" s="48" t="str">
        <f aca="false">IF(A56,IF(Schedule!J56="","",Schedule!J56),"")</f>
        <v/>
      </c>
      <c r="O56" s="48" t="str">
        <f aca="false">IF(A56,IF(AND(Settings!$B$14="longtable",NOT(D56)),Settings!$B$15,Settings!$B$3),"")</f>
        <v/>
      </c>
      <c r="P56" s="48" t="str">
        <f aca="false">IF(D56,Settings!$B$4,"")</f>
        <v/>
      </c>
    </row>
    <row r="57" customFormat="false" ht="15" hidden="false" customHeight="false" outlineLevel="0" collapsed="false">
      <c r="A57" s="47" t="b">
        <f aca="false">AND(Dates!F57&lt;&gt;"",ROW()&lt;=Settings!$B$13)</f>
        <v>0</v>
      </c>
      <c r="B57" s="47" t="str">
        <f aca="false">IF(NOT(A57),"",IF(Dates!D57&lt;&gt;"",Dates!D57,IF(ROW()=2,"",B56)))</f>
        <v/>
      </c>
      <c r="C57" s="47" t="b">
        <f aca="false">AND(A57,OR(ROW()=2,B57&lt;&gt;B56))</f>
        <v>0</v>
      </c>
      <c r="D57" s="47" t="b">
        <f aca="false">AND(A57,OR(NOT(A58),B58&lt;&gt;B57))</f>
        <v>0</v>
      </c>
      <c r="E57" s="47" t="n">
        <f aca="false">IF(A57,COUNTIF($B$2:$B$261,B57),0)</f>
        <v>0</v>
      </c>
      <c r="F57" s="47" t="str">
        <f aca="false">IF(A57,Dates!J57,"")</f>
        <v/>
      </c>
      <c r="G57" s="47" t="b">
        <f aca="false">AND(A57,OR(C57,F57&lt;&gt;F56))</f>
        <v>0</v>
      </c>
      <c r="H57" s="47" t="n">
        <f aca="false">IF(A57,COUNTIFS($B$2:$B$261,B57,$F$2:$F$261,F57),0)</f>
        <v>0</v>
      </c>
      <c r="I57" s="48" t="str">
        <f aca="false">IF(C57,"\multirow{"&amp;E57&amp;"}{*}{"&amp;B57&amp;"}","")</f>
        <v/>
      </c>
      <c r="J57" s="48" t="str">
        <f aca="false">IF(G57,IF(H57=1,F57,"\multirow{"&amp;H57&amp;"}{*}{"&amp;F57&amp;"}"),"")</f>
        <v/>
      </c>
      <c r="K57" s="48" t="str">
        <f aca="false">IF(A57,TEXT(Dates!K57,"00"),"")</f>
        <v/>
      </c>
      <c r="L57" s="48" t="str">
        <f aca="false">IF(A57,Dates!H57&amp;IF(C57,Settings!$B$2,""),"")</f>
        <v/>
      </c>
      <c r="M57" s="48" t="str">
        <f aca="false">IF(A57,IF(Schedule!I57="","",IF(ISNUMBER(Schedule!I57),IF(Schedule!I57&lt;10,Settings!$B$6&amp;TEXT(Schedule!I57,"#"),Schedule!I57),Schedule!I57)),"")</f>
        <v/>
      </c>
      <c r="N57" s="48" t="str">
        <f aca="false">IF(A57,IF(Schedule!J57="","",Schedule!J57),"")</f>
        <v/>
      </c>
      <c r="O57" s="48" t="str">
        <f aca="false">IF(A57,IF(AND(Settings!$B$14="longtable",NOT(D57)),Settings!$B$15,Settings!$B$3),"")</f>
        <v/>
      </c>
      <c r="P57" s="48" t="str">
        <f aca="false">IF(D57,Settings!$B$4,"")</f>
        <v/>
      </c>
    </row>
    <row r="58" customFormat="false" ht="15" hidden="false" customHeight="false" outlineLevel="0" collapsed="false">
      <c r="A58" s="47" t="b">
        <f aca="false">AND(Dates!F58&lt;&gt;"",ROW()&lt;=Settings!$B$13)</f>
        <v>0</v>
      </c>
      <c r="B58" s="47" t="str">
        <f aca="false">IF(NOT(A58),"",IF(Dates!D58&lt;&gt;"",Dates!D58,IF(ROW()=2,"",B57)))</f>
        <v/>
      </c>
      <c r="C58" s="47" t="b">
        <f aca="false">AND(A58,OR(ROW()=2,B58&lt;&gt;B57))</f>
        <v>0</v>
      </c>
      <c r="D58" s="47" t="b">
        <f aca="false">AND(A58,OR(NOT(A59),B59&lt;&gt;B58))</f>
        <v>0</v>
      </c>
      <c r="E58" s="47" t="n">
        <f aca="false">IF(A58,COUNTIF($B$2:$B$261,B58),0)</f>
        <v>0</v>
      </c>
      <c r="F58" s="47" t="str">
        <f aca="false">IF(A58,Dates!J58,"")</f>
        <v/>
      </c>
      <c r="G58" s="47" t="b">
        <f aca="false">AND(A58,OR(C58,F58&lt;&gt;F57))</f>
        <v>0</v>
      </c>
      <c r="H58" s="47" t="n">
        <f aca="false">IF(A58,COUNTIFS($B$2:$B$261,B58,$F$2:$F$261,F58),0)</f>
        <v>0</v>
      </c>
      <c r="I58" s="48" t="str">
        <f aca="false">IF(C58,"\multirow{"&amp;E58&amp;"}{*}{"&amp;B58&amp;"}","")</f>
        <v/>
      </c>
      <c r="J58" s="48" t="str">
        <f aca="false">IF(G58,IF(H58=1,F58,"\multirow{"&amp;H58&amp;"}{*}{"&amp;F58&amp;"}"),"")</f>
        <v/>
      </c>
      <c r="K58" s="48" t="str">
        <f aca="false">IF(A58,TEXT(Dates!K58,"00"),"")</f>
        <v/>
      </c>
      <c r="L58" s="48" t="str">
        <f aca="false">IF(A58,Dates!H58&amp;IF(C58,Settings!$B$2,""),"")</f>
        <v/>
      </c>
      <c r="M58" s="48" t="str">
        <f aca="false">IF(A58,IF(Schedule!I58="","",IF(ISNUMBER(Schedule!I58),IF(Schedule!I58&lt;10,Settings!$B$6&amp;TEXT(Schedule!I58,"#"),Schedule!I58),Schedule!I58)),"")</f>
        <v/>
      </c>
      <c r="N58" s="48" t="str">
        <f aca="false">IF(A58,IF(Schedule!J58="","",Schedule!J58),"")</f>
        <v/>
      </c>
      <c r="O58" s="48" t="str">
        <f aca="false">IF(A58,IF(AND(Settings!$B$14="longtable",NOT(D58)),Settings!$B$15,Settings!$B$3),"")</f>
        <v/>
      </c>
      <c r="P58" s="48" t="str">
        <f aca="false">IF(D58,Settings!$B$4,"")</f>
        <v/>
      </c>
    </row>
    <row r="59" customFormat="false" ht="15" hidden="false" customHeight="false" outlineLevel="0" collapsed="false">
      <c r="A59" s="47" t="b">
        <f aca="false">AND(Dates!F59&lt;&gt;"",ROW()&lt;=Settings!$B$13)</f>
        <v>0</v>
      </c>
      <c r="B59" s="47" t="str">
        <f aca="false">IF(NOT(A59),"",IF(Dates!D59&lt;&gt;"",Dates!D59,IF(ROW()=2,"",B58)))</f>
        <v/>
      </c>
      <c r="C59" s="47" t="b">
        <f aca="false">AND(A59,OR(ROW()=2,B59&lt;&gt;B58))</f>
        <v>0</v>
      </c>
      <c r="D59" s="47" t="b">
        <f aca="false">AND(A59,OR(NOT(A60),B60&lt;&gt;B59))</f>
        <v>0</v>
      </c>
      <c r="E59" s="47" t="n">
        <f aca="false">IF(A59,COUNTIF($B$2:$B$261,B59),0)</f>
        <v>0</v>
      </c>
      <c r="F59" s="47" t="str">
        <f aca="false">IF(A59,Dates!J59,"")</f>
        <v/>
      </c>
      <c r="G59" s="47" t="b">
        <f aca="false">AND(A59,OR(C59,F59&lt;&gt;F58))</f>
        <v>0</v>
      </c>
      <c r="H59" s="47" t="n">
        <f aca="false">IF(A59,COUNTIFS($B$2:$B$261,B59,$F$2:$F$261,F59),0)</f>
        <v>0</v>
      </c>
      <c r="I59" s="48" t="str">
        <f aca="false">IF(C59,"\multirow{"&amp;E59&amp;"}{*}{"&amp;B59&amp;"}","")</f>
        <v/>
      </c>
      <c r="J59" s="48" t="str">
        <f aca="false">IF(G59,IF(H59=1,F59,"\multirow{"&amp;H59&amp;"}{*}{"&amp;F59&amp;"}"),"")</f>
        <v/>
      </c>
      <c r="K59" s="48" t="str">
        <f aca="false">IF(A59,TEXT(Dates!K59,"00"),"")</f>
        <v/>
      </c>
      <c r="L59" s="48" t="str">
        <f aca="false">IF(A59,Dates!H59&amp;IF(C59,Settings!$B$2,""),"")</f>
        <v/>
      </c>
      <c r="M59" s="48" t="str">
        <f aca="false">IF(A59,IF(Schedule!I59="","",IF(ISNUMBER(Schedule!I59),IF(Schedule!I59&lt;10,Settings!$B$6&amp;TEXT(Schedule!I59,"#"),Schedule!I59),Schedule!I59)),"")</f>
        <v/>
      </c>
      <c r="N59" s="48" t="str">
        <f aca="false">IF(A59,IF(Schedule!J59="","",Schedule!J59),"")</f>
        <v/>
      </c>
      <c r="O59" s="48" t="str">
        <f aca="false">IF(A59,IF(AND(Settings!$B$14="longtable",NOT(D59)),Settings!$B$15,Settings!$B$3),"")</f>
        <v/>
      </c>
      <c r="P59" s="48" t="str">
        <f aca="false">IF(D59,Settings!$B$4,"")</f>
        <v/>
      </c>
    </row>
    <row r="60" customFormat="false" ht="15" hidden="false" customHeight="false" outlineLevel="0" collapsed="false">
      <c r="A60" s="47" t="b">
        <f aca="false">AND(Dates!F60&lt;&gt;"",ROW()&lt;=Settings!$B$13)</f>
        <v>0</v>
      </c>
      <c r="B60" s="47" t="str">
        <f aca="false">IF(NOT(A60),"",IF(Dates!D60&lt;&gt;"",Dates!D60,IF(ROW()=2,"",B59)))</f>
        <v/>
      </c>
      <c r="C60" s="47" t="b">
        <f aca="false">AND(A60,OR(ROW()=2,B60&lt;&gt;B59))</f>
        <v>0</v>
      </c>
      <c r="D60" s="47" t="b">
        <f aca="false">AND(A60,OR(NOT(A61),B61&lt;&gt;B60))</f>
        <v>0</v>
      </c>
      <c r="E60" s="47" t="n">
        <f aca="false">IF(A60,COUNTIF($B$2:$B$261,B60),0)</f>
        <v>0</v>
      </c>
      <c r="F60" s="47" t="str">
        <f aca="false">IF(A60,Dates!J60,"")</f>
        <v/>
      </c>
      <c r="G60" s="47" t="b">
        <f aca="false">AND(A60,OR(C60,F60&lt;&gt;F59))</f>
        <v>0</v>
      </c>
      <c r="H60" s="47" t="n">
        <f aca="false">IF(A60,COUNTIFS($B$2:$B$261,B60,$F$2:$F$261,F60),0)</f>
        <v>0</v>
      </c>
      <c r="I60" s="48" t="str">
        <f aca="false">IF(C60,"\multirow{"&amp;E60&amp;"}{*}{"&amp;B60&amp;"}","")</f>
        <v/>
      </c>
      <c r="J60" s="48" t="str">
        <f aca="false">IF(G60,IF(H60=1,F60,"\multirow{"&amp;H60&amp;"}{*}{"&amp;F60&amp;"}"),"")</f>
        <v/>
      </c>
      <c r="K60" s="48" t="str">
        <f aca="false">IF(A60,TEXT(Dates!K60,"00"),"")</f>
        <v/>
      </c>
      <c r="L60" s="48" t="str">
        <f aca="false">IF(A60,Dates!H60&amp;IF(C60,Settings!$B$2,""),"")</f>
        <v/>
      </c>
      <c r="M60" s="48" t="str">
        <f aca="false">IF(A60,IF(Schedule!I60="","",IF(ISNUMBER(Schedule!I60),IF(Schedule!I60&lt;10,Settings!$B$6&amp;TEXT(Schedule!I60,"#"),Schedule!I60),Schedule!I60)),"")</f>
        <v/>
      </c>
      <c r="N60" s="48" t="str">
        <f aca="false">IF(A60,IF(Schedule!J60="","",Schedule!J60),"")</f>
        <v/>
      </c>
      <c r="O60" s="48" t="str">
        <f aca="false">IF(A60,IF(AND(Settings!$B$14="longtable",NOT(D60)),Settings!$B$15,Settings!$B$3),"")</f>
        <v/>
      </c>
      <c r="P60" s="48" t="str">
        <f aca="false">IF(D60,Settings!$B$4,"")</f>
        <v/>
      </c>
    </row>
    <row r="61" customFormat="false" ht="15" hidden="false" customHeight="false" outlineLevel="0" collapsed="false">
      <c r="A61" s="47" t="b">
        <f aca="false">AND(Dates!F61&lt;&gt;"",ROW()&lt;=Settings!$B$13)</f>
        <v>0</v>
      </c>
      <c r="B61" s="47" t="str">
        <f aca="false">IF(NOT(A61),"",IF(Dates!D61&lt;&gt;"",Dates!D61,IF(ROW()=2,"",B60)))</f>
        <v/>
      </c>
      <c r="C61" s="47" t="b">
        <f aca="false">AND(A61,OR(ROW()=2,B61&lt;&gt;B60))</f>
        <v>0</v>
      </c>
      <c r="D61" s="47" t="b">
        <f aca="false">AND(A61,OR(NOT(A62),B62&lt;&gt;B61))</f>
        <v>0</v>
      </c>
      <c r="E61" s="47" t="n">
        <f aca="false">IF(A61,COUNTIF($B$2:$B$261,B61),0)</f>
        <v>0</v>
      </c>
      <c r="F61" s="47" t="str">
        <f aca="false">IF(A61,Dates!J61,"")</f>
        <v/>
      </c>
      <c r="G61" s="47" t="b">
        <f aca="false">AND(A61,OR(C61,F61&lt;&gt;F60))</f>
        <v>0</v>
      </c>
      <c r="H61" s="47" t="n">
        <f aca="false">IF(A61,COUNTIFS($B$2:$B$261,B61,$F$2:$F$261,F61),0)</f>
        <v>0</v>
      </c>
      <c r="I61" s="48" t="str">
        <f aca="false">IF(C61,"\multirow{"&amp;E61&amp;"}{*}{"&amp;B61&amp;"}","")</f>
        <v/>
      </c>
      <c r="J61" s="48" t="str">
        <f aca="false">IF(G61,IF(H61=1,F61,"\multirow{"&amp;H61&amp;"}{*}{"&amp;F61&amp;"}"),"")</f>
        <v/>
      </c>
      <c r="K61" s="48" t="str">
        <f aca="false">IF(A61,TEXT(Dates!K61,"00"),"")</f>
        <v/>
      </c>
      <c r="L61" s="48" t="str">
        <f aca="false">IF(A61,Dates!H61&amp;IF(C61,Settings!$B$2,""),"")</f>
        <v/>
      </c>
      <c r="M61" s="48" t="str">
        <f aca="false">IF(A61,IF(Schedule!I61="","",IF(ISNUMBER(Schedule!I61),IF(Schedule!I61&lt;10,Settings!$B$6&amp;TEXT(Schedule!I61,"#"),Schedule!I61),Schedule!I61)),"")</f>
        <v/>
      </c>
      <c r="N61" s="48" t="str">
        <f aca="false">IF(A61,IF(Schedule!J61="","",Schedule!J61),"")</f>
        <v/>
      </c>
      <c r="O61" s="48" t="str">
        <f aca="false">IF(A61,IF(AND(Settings!$B$14="longtable",NOT(D61)),Settings!$B$15,Settings!$B$3),"")</f>
        <v/>
      </c>
      <c r="P61" s="48" t="str">
        <f aca="false">IF(D61,Settings!$B$4,"")</f>
        <v/>
      </c>
    </row>
    <row r="62" customFormat="false" ht="15" hidden="false" customHeight="false" outlineLevel="0" collapsed="false">
      <c r="A62" s="47" t="b">
        <f aca="false">AND(Dates!F62&lt;&gt;"",ROW()&lt;=Settings!$B$13)</f>
        <v>0</v>
      </c>
      <c r="B62" s="47" t="str">
        <f aca="false">IF(NOT(A62),"",IF(Dates!D62&lt;&gt;"",Dates!D62,IF(ROW()=2,"",B61)))</f>
        <v/>
      </c>
      <c r="C62" s="47" t="b">
        <f aca="false">AND(A62,OR(ROW()=2,B62&lt;&gt;B61))</f>
        <v>0</v>
      </c>
      <c r="D62" s="47" t="b">
        <f aca="false">AND(A62,OR(NOT(A63),B63&lt;&gt;B62))</f>
        <v>0</v>
      </c>
      <c r="E62" s="47" t="n">
        <f aca="false">IF(A62,COUNTIF($B$2:$B$261,B62),0)</f>
        <v>0</v>
      </c>
      <c r="F62" s="47" t="str">
        <f aca="false">IF(A62,Dates!J62,"")</f>
        <v/>
      </c>
      <c r="G62" s="47" t="b">
        <f aca="false">AND(A62,OR(C62,F62&lt;&gt;F61))</f>
        <v>0</v>
      </c>
      <c r="H62" s="47" t="n">
        <f aca="false">IF(A62,COUNTIFS($B$2:$B$261,B62,$F$2:$F$261,F62),0)</f>
        <v>0</v>
      </c>
      <c r="I62" s="48" t="str">
        <f aca="false">IF(C62,"\multirow{"&amp;E62&amp;"}{*}{"&amp;B62&amp;"}","")</f>
        <v/>
      </c>
      <c r="J62" s="48" t="str">
        <f aca="false">IF(G62,IF(H62=1,F62,"\multirow{"&amp;H62&amp;"}{*}{"&amp;F62&amp;"}"),"")</f>
        <v/>
      </c>
      <c r="K62" s="48" t="str">
        <f aca="false">IF(A62,TEXT(Dates!K62,"00"),"")</f>
        <v/>
      </c>
      <c r="L62" s="48" t="str">
        <f aca="false">IF(A62,Dates!H62&amp;IF(C62,Settings!$B$2,""),"")</f>
        <v/>
      </c>
      <c r="M62" s="48" t="str">
        <f aca="false">IF(A62,IF(Schedule!I62="","",IF(ISNUMBER(Schedule!I62),IF(Schedule!I62&lt;10,Settings!$B$6&amp;TEXT(Schedule!I62,"#"),Schedule!I62),Schedule!I62)),"")</f>
        <v/>
      </c>
      <c r="N62" s="48" t="str">
        <f aca="false">IF(A62,IF(Schedule!J62="","",Schedule!J62),"")</f>
        <v/>
      </c>
      <c r="O62" s="48" t="str">
        <f aca="false">IF(A62,IF(AND(Settings!$B$14="longtable",NOT(D62)),Settings!$B$15,Settings!$B$3),"")</f>
        <v/>
      </c>
      <c r="P62" s="48" t="str">
        <f aca="false">IF(D62,Settings!$B$4,"")</f>
        <v/>
      </c>
    </row>
    <row r="63" customFormat="false" ht="15" hidden="false" customHeight="false" outlineLevel="0" collapsed="false">
      <c r="A63" s="47" t="b">
        <f aca="false">AND(Dates!F63&lt;&gt;"",ROW()&lt;=Settings!$B$13)</f>
        <v>0</v>
      </c>
      <c r="B63" s="47" t="str">
        <f aca="false">IF(NOT(A63),"",IF(Dates!D63&lt;&gt;"",Dates!D63,IF(ROW()=2,"",B62)))</f>
        <v/>
      </c>
      <c r="C63" s="47" t="b">
        <f aca="false">AND(A63,OR(ROW()=2,B63&lt;&gt;B62))</f>
        <v>0</v>
      </c>
      <c r="D63" s="47" t="b">
        <f aca="false">AND(A63,OR(NOT(A64),B64&lt;&gt;B63))</f>
        <v>0</v>
      </c>
      <c r="E63" s="47" t="n">
        <f aca="false">IF(A63,COUNTIF($B$2:$B$261,B63),0)</f>
        <v>0</v>
      </c>
      <c r="F63" s="47" t="str">
        <f aca="false">IF(A63,Dates!J63,"")</f>
        <v/>
      </c>
      <c r="G63" s="47" t="b">
        <f aca="false">AND(A63,OR(C63,F63&lt;&gt;F62))</f>
        <v>0</v>
      </c>
      <c r="H63" s="47" t="n">
        <f aca="false">IF(A63,COUNTIFS($B$2:$B$261,B63,$F$2:$F$261,F63),0)</f>
        <v>0</v>
      </c>
      <c r="I63" s="48" t="str">
        <f aca="false">IF(C63,"\multirow{"&amp;E63&amp;"}{*}{"&amp;B63&amp;"}","")</f>
        <v/>
      </c>
      <c r="J63" s="48" t="str">
        <f aca="false">IF(G63,IF(H63=1,F63,"\multirow{"&amp;H63&amp;"}{*}{"&amp;F63&amp;"}"),"")</f>
        <v/>
      </c>
      <c r="K63" s="48" t="str">
        <f aca="false">IF(A63,TEXT(Dates!K63,"00"),"")</f>
        <v/>
      </c>
      <c r="L63" s="48" t="str">
        <f aca="false">IF(A63,Dates!H63&amp;IF(C63,Settings!$B$2,""),"")</f>
        <v/>
      </c>
      <c r="M63" s="48" t="str">
        <f aca="false">IF(A63,IF(Schedule!I63="","",IF(ISNUMBER(Schedule!I63),IF(Schedule!I63&lt;10,Settings!$B$6&amp;TEXT(Schedule!I63,"#"),Schedule!I63),Schedule!I63)),"")</f>
        <v/>
      </c>
      <c r="N63" s="48" t="str">
        <f aca="false">IF(A63,IF(Schedule!J63="","",Schedule!J63),"")</f>
        <v/>
      </c>
      <c r="O63" s="48" t="str">
        <f aca="false">IF(A63,IF(AND(Settings!$B$14="longtable",NOT(D63)),Settings!$B$15,Settings!$B$3),"")</f>
        <v/>
      </c>
      <c r="P63" s="48" t="str">
        <f aca="false">IF(D63,Settings!$B$4,"")</f>
        <v/>
      </c>
    </row>
    <row r="64" customFormat="false" ht="15" hidden="false" customHeight="false" outlineLevel="0" collapsed="false">
      <c r="A64" s="47" t="b">
        <f aca="false">AND(Dates!F64&lt;&gt;"",ROW()&lt;=Settings!$B$13)</f>
        <v>0</v>
      </c>
      <c r="B64" s="47" t="str">
        <f aca="false">IF(NOT(A64),"",IF(Dates!D64&lt;&gt;"",Dates!D64,IF(ROW()=2,"",B63)))</f>
        <v/>
      </c>
      <c r="C64" s="47" t="b">
        <f aca="false">AND(A64,OR(ROW()=2,B64&lt;&gt;B63))</f>
        <v>0</v>
      </c>
      <c r="D64" s="47" t="b">
        <f aca="false">AND(A64,OR(NOT(A65),B65&lt;&gt;B64))</f>
        <v>0</v>
      </c>
      <c r="E64" s="47" t="n">
        <f aca="false">IF(A64,COUNTIF($B$2:$B$261,B64),0)</f>
        <v>0</v>
      </c>
      <c r="F64" s="47" t="str">
        <f aca="false">IF(A64,Dates!J64,"")</f>
        <v/>
      </c>
      <c r="G64" s="47" t="b">
        <f aca="false">AND(A64,OR(C64,F64&lt;&gt;F63))</f>
        <v>0</v>
      </c>
      <c r="H64" s="47" t="n">
        <f aca="false">IF(A64,COUNTIFS($B$2:$B$261,B64,$F$2:$F$261,F64),0)</f>
        <v>0</v>
      </c>
      <c r="I64" s="48" t="str">
        <f aca="false">IF(C64,"\multirow{"&amp;E64&amp;"}{*}{"&amp;B64&amp;"}","")</f>
        <v/>
      </c>
      <c r="J64" s="48" t="str">
        <f aca="false">IF(G64,IF(H64=1,F64,"\multirow{"&amp;H64&amp;"}{*}{"&amp;F64&amp;"}"),"")</f>
        <v/>
      </c>
      <c r="K64" s="48" t="str">
        <f aca="false">IF(A64,TEXT(Dates!K64,"00"),"")</f>
        <v/>
      </c>
      <c r="L64" s="48" t="str">
        <f aca="false">IF(A64,Dates!H64&amp;IF(C64,Settings!$B$2,""),"")</f>
        <v/>
      </c>
      <c r="M64" s="48" t="str">
        <f aca="false">IF(A64,IF(Schedule!I64="","",IF(ISNUMBER(Schedule!I64),IF(Schedule!I64&lt;10,Settings!$B$6&amp;TEXT(Schedule!I64,"#"),Schedule!I64),Schedule!I64)),"")</f>
        <v/>
      </c>
      <c r="N64" s="48" t="str">
        <f aca="false">IF(A64,IF(Schedule!J64="","",Schedule!J64),"")</f>
        <v/>
      </c>
      <c r="O64" s="48" t="str">
        <f aca="false">IF(A64,IF(AND(Settings!$B$14="longtable",NOT(D64)),Settings!$B$15,Settings!$B$3),"")</f>
        <v/>
      </c>
      <c r="P64" s="48" t="str">
        <f aca="false">IF(D64,Settings!$B$4,"")</f>
        <v/>
      </c>
    </row>
    <row r="65" customFormat="false" ht="15" hidden="false" customHeight="false" outlineLevel="0" collapsed="false">
      <c r="A65" s="47" t="b">
        <f aca="false">AND(Dates!F65&lt;&gt;"",ROW()&lt;=Settings!$B$13)</f>
        <v>0</v>
      </c>
      <c r="B65" s="47" t="str">
        <f aca="false">IF(NOT(A65),"",IF(Dates!D65&lt;&gt;"",Dates!D65,IF(ROW()=2,"",B64)))</f>
        <v/>
      </c>
      <c r="C65" s="47" t="b">
        <f aca="false">AND(A65,OR(ROW()=2,B65&lt;&gt;B64))</f>
        <v>0</v>
      </c>
      <c r="D65" s="47" t="b">
        <f aca="false">AND(A65,OR(NOT(A66),B66&lt;&gt;B65))</f>
        <v>0</v>
      </c>
      <c r="E65" s="47" t="n">
        <f aca="false">IF(A65,COUNTIF($B$2:$B$261,B65),0)</f>
        <v>0</v>
      </c>
      <c r="F65" s="47" t="str">
        <f aca="false">IF(A65,Dates!J65,"")</f>
        <v/>
      </c>
      <c r="G65" s="47" t="b">
        <f aca="false">AND(A65,OR(C65,F65&lt;&gt;F64))</f>
        <v>0</v>
      </c>
      <c r="H65" s="47" t="n">
        <f aca="false">IF(A65,COUNTIFS($B$2:$B$261,B65,$F$2:$F$261,F65),0)</f>
        <v>0</v>
      </c>
      <c r="I65" s="48" t="str">
        <f aca="false">IF(C65,"\multirow{"&amp;E65&amp;"}{*}{"&amp;B65&amp;"}","")</f>
        <v/>
      </c>
      <c r="J65" s="48" t="str">
        <f aca="false">IF(G65,IF(H65=1,F65,"\multirow{"&amp;H65&amp;"}{*}{"&amp;F65&amp;"}"),"")</f>
        <v/>
      </c>
      <c r="K65" s="48" t="str">
        <f aca="false">IF(A65,TEXT(Dates!K65,"00"),"")</f>
        <v/>
      </c>
      <c r="L65" s="48" t="str">
        <f aca="false">IF(A65,Dates!H65&amp;IF(C65,Settings!$B$2,""),"")</f>
        <v/>
      </c>
      <c r="M65" s="48" t="str">
        <f aca="false">IF(A65,IF(Schedule!I65="","",IF(ISNUMBER(Schedule!I65),IF(Schedule!I65&lt;10,Settings!$B$6&amp;TEXT(Schedule!I65,"#"),Schedule!I65),Schedule!I65)),"")</f>
        <v/>
      </c>
      <c r="N65" s="48" t="str">
        <f aca="false">IF(A65,IF(Schedule!J65="","",Schedule!J65),"")</f>
        <v/>
      </c>
      <c r="O65" s="48" t="str">
        <f aca="false">IF(A65,IF(AND(Settings!$B$14="longtable",NOT(D65)),Settings!$B$15,Settings!$B$3),"")</f>
        <v/>
      </c>
      <c r="P65" s="48" t="str">
        <f aca="false">IF(D65,Settings!$B$4,"")</f>
        <v/>
      </c>
    </row>
    <row r="66" customFormat="false" ht="15" hidden="false" customHeight="false" outlineLevel="0" collapsed="false">
      <c r="A66" s="46" t="b">
        <f aca="false">AND(Dates!F66&lt;&gt;"",ROW()&lt;=Settings!$B$13)</f>
        <v>0</v>
      </c>
      <c r="B66" s="1" t="str">
        <f aca="false">IF(NOT(A66),"",IF(Dates!D66&lt;&gt;"",Dates!D66,IF(ROW()=2,"",B65)))</f>
        <v/>
      </c>
      <c r="C66" s="46" t="b">
        <f aca="false">AND(A66,OR(ROW()=2,B66&lt;&gt;B65))</f>
        <v>0</v>
      </c>
      <c r="D66" s="46" t="b">
        <f aca="false">AND(A66,OR(NOT(A67),B67&lt;&gt;B66))</f>
        <v>0</v>
      </c>
      <c r="E66" s="1" t="n">
        <f aca="false">IF(A66,COUNTIF($B$2:$B$261,B66),0)</f>
        <v>0</v>
      </c>
      <c r="F66" s="1" t="str">
        <f aca="false">IF(A66,Dates!J66,"")</f>
        <v/>
      </c>
      <c r="G66" s="46" t="b">
        <f aca="false">AND(A66,OR(C66,F66&lt;&gt;F65))</f>
        <v>0</v>
      </c>
      <c r="H66" s="1" t="n">
        <f aca="false">IF(A66,COUNTIFS($B$2:$B$261,B66,$F$2:$F$261,F66),0)</f>
        <v>0</v>
      </c>
      <c r="I66" s="1" t="str">
        <f aca="false">IF(C66,"\multirow{"&amp;E66&amp;"}{*}{"&amp;B66&amp;"}","")</f>
        <v/>
      </c>
      <c r="J66" s="1" t="str">
        <f aca="false">IF(G66,IF(H66=1,F66,"\multirow{"&amp;H66&amp;"}{*}{"&amp;F66&amp;"}"),"")</f>
        <v/>
      </c>
      <c r="K66" s="1" t="str">
        <f aca="false">IF(A66,TEXT(Dates!K66,"00"),"")</f>
        <v/>
      </c>
      <c r="L66" s="1" t="str">
        <f aca="false">IF(A66,Dates!H66&amp;IF(C66,Settings!$B$2,""),"")</f>
        <v/>
      </c>
      <c r="M66" s="49" t="str">
        <f aca="false">IF(A66,IF(Schedule!I66="","",IF(ISNUMBER(Schedule!I66),IF(Schedule!I66&lt;10,Settings!$B$6&amp;TEXT(Schedule!I66,"#"),Schedule!I66),Schedule!I66)),"")</f>
        <v/>
      </c>
      <c r="N66" s="1" t="str">
        <f aca="false">IF(A66,IF(Schedule!J66="","",Schedule!J66),"")</f>
        <v/>
      </c>
      <c r="O66" s="1" t="str">
        <f aca="false">IF(A66,IF(AND(Settings!$B$14="longtable",NOT(D66)),Settings!$B$15,Settings!$B$3),"")</f>
        <v/>
      </c>
      <c r="P66" s="1" t="str">
        <f aca="false">IF(D66,Settings!$B$4,"")</f>
        <v/>
      </c>
    </row>
    <row r="67" customFormat="false" ht="15" hidden="false" customHeight="false" outlineLevel="0" collapsed="false">
      <c r="A67" s="46" t="b">
        <f aca="false">AND(Dates!F67&lt;&gt;"",ROW()&lt;=Settings!$B$13)</f>
        <v>0</v>
      </c>
      <c r="B67" s="1" t="str">
        <f aca="false">IF(NOT(A67),"",IF(Dates!D67&lt;&gt;"",Dates!D67,IF(ROW()=2,"",B66)))</f>
        <v/>
      </c>
      <c r="C67" s="46" t="b">
        <f aca="false">AND(A67,OR(ROW()=2,B67&lt;&gt;B66))</f>
        <v>0</v>
      </c>
      <c r="D67" s="46" t="b">
        <f aca="false">AND(A67,OR(NOT(A68),B68&lt;&gt;B67))</f>
        <v>0</v>
      </c>
      <c r="E67" s="1" t="n">
        <f aca="false">IF(A67,COUNTIF($B$2:$B$261,B67),0)</f>
        <v>0</v>
      </c>
      <c r="F67" s="1" t="str">
        <f aca="false">IF(A67,Dates!J67,"")</f>
        <v/>
      </c>
      <c r="G67" s="46" t="b">
        <f aca="false">AND(A67,OR(C67,F67&lt;&gt;F66))</f>
        <v>0</v>
      </c>
      <c r="H67" s="1" t="n">
        <f aca="false">IF(A67,COUNTIFS($B$2:$B$261,B67,$F$2:$F$261,F67),0)</f>
        <v>0</v>
      </c>
      <c r="I67" s="1" t="str">
        <f aca="false">IF(C67,"\multirow{"&amp;E67&amp;"}{*}{"&amp;B67&amp;"}","")</f>
        <v/>
      </c>
      <c r="J67" s="1" t="str">
        <f aca="false">IF(G67,IF(H67=1,F67,"\multirow{"&amp;H67&amp;"}{*}{"&amp;F67&amp;"}"),"")</f>
        <v/>
      </c>
      <c r="K67" s="1" t="str">
        <f aca="false">IF(A67,TEXT(Dates!K67,"00"),"")</f>
        <v/>
      </c>
      <c r="L67" s="1" t="str">
        <f aca="false">IF(A67,Dates!H67&amp;IF(C67,Settings!$B$2,""),"")</f>
        <v/>
      </c>
      <c r="M67" s="49" t="str">
        <f aca="false">IF(A67,IF(Schedule!I67="","",IF(ISNUMBER(Schedule!I67),IF(Schedule!I67&lt;10,Settings!$B$6&amp;TEXT(Schedule!I67,"#"),Schedule!I67),Schedule!I67)),"")</f>
        <v/>
      </c>
      <c r="N67" s="1" t="str">
        <f aca="false">IF(A67,IF(Schedule!J67="","",Schedule!J67),"")</f>
        <v/>
      </c>
      <c r="O67" s="1" t="str">
        <f aca="false">IF(A67,IF(AND(Settings!$B$14="longtable",NOT(D67)),Settings!$B$15,Settings!$B$3),"")</f>
        <v/>
      </c>
      <c r="P67" s="1" t="str">
        <f aca="false">IF(D67,Settings!$B$4,"")</f>
        <v/>
      </c>
    </row>
    <row r="68" customFormat="false" ht="15" hidden="false" customHeight="false" outlineLevel="0" collapsed="false">
      <c r="A68" s="46" t="b">
        <f aca="false">AND(Dates!F68&lt;&gt;"",ROW()&lt;=Settings!$B$13)</f>
        <v>0</v>
      </c>
      <c r="B68" s="1" t="str">
        <f aca="false">IF(NOT(A68),"",IF(Dates!D68&lt;&gt;"",Dates!D68,IF(ROW()=2,"",B67)))</f>
        <v/>
      </c>
      <c r="C68" s="46" t="b">
        <f aca="false">AND(A68,OR(ROW()=2,B68&lt;&gt;B67))</f>
        <v>0</v>
      </c>
      <c r="D68" s="46" t="b">
        <f aca="false">AND(A68,OR(NOT(A69),B69&lt;&gt;B68))</f>
        <v>0</v>
      </c>
      <c r="E68" s="1" t="n">
        <f aca="false">IF(A68,COUNTIF($B$2:$B$261,B68),0)</f>
        <v>0</v>
      </c>
      <c r="F68" s="1" t="str">
        <f aca="false">IF(A68,Dates!J68,"")</f>
        <v/>
      </c>
      <c r="G68" s="46" t="b">
        <f aca="false">AND(A68,OR(C68,F68&lt;&gt;F67))</f>
        <v>0</v>
      </c>
      <c r="H68" s="1" t="n">
        <f aca="false">IF(A68,COUNTIFS($B$2:$B$261,B68,$F$2:$F$261,F68),0)</f>
        <v>0</v>
      </c>
      <c r="I68" s="1" t="str">
        <f aca="false">IF(C68,"\multirow{"&amp;E68&amp;"}{*}{"&amp;B68&amp;"}","")</f>
        <v/>
      </c>
      <c r="J68" s="1" t="str">
        <f aca="false">IF(G68,IF(H68=1,F68,"\multirow{"&amp;H68&amp;"}{*}{"&amp;F68&amp;"}"),"")</f>
        <v/>
      </c>
      <c r="K68" s="1" t="str">
        <f aca="false">IF(A68,TEXT(Dates!K68,"00"),"")</f>
        <v/>
      </c>
      <c r="L68" s="1" t="str">
        <f aca="false">IF(A68,Dates!H68&amp;IF(C68,Settings!$B$2,""),"")</f>
        <v/>
      </c>
      <c r="M68" s="49" t="str">
        <f aca="false">IF(A68,IF(Schedule!I68="","",IF(ISNUMBER(Schedule!I68),IF(Schedule!I68&lt;10,Settings!$B$6&amp;TEXT(Schedule!I68,"#"),Schedule!I68),Schedule!I68)),"")</f>
        <v/>
      </c>
      <c r="N68" s="1" t="str">
        <f aca="false">IF(A68,IF(Schedule!J68="","",Schedule!J68),"")</f>
        <v/>
      </c>
      <c r="O68" s="1" t="str">
        <f aca="false">IF(A68,IF(AND(Settings!$B$14="longtable",NOT(D68)),Settings!$B$15,Settings!$B$3),"")</f>
        <v/>
      </c>
      <c r="P68" s="1" t="str">
        <f aca="false">IF(D68,Settings!$B$4,"")</f>
        <v/>
      </c>
    </row>
    <row r="69" customFormat="false" ht="15" hidden="false" customHeight="false" outlineLevel="0" collapsed="false">
      <c r="A69" s="46" t="b">
        <f aca="false">AND(Dates!F69&lt;&gt;"",ROW()&lt;=Settings!$B$13)</f>
        <v>0</v>
      </c>
      <c r="B69" s="1" t="str">
        <f aca="false">IF(NOT(A69),"",IF(Dates!D69&lt;&gt;"",Dates!D69,IF(ROW()=2,"",B68)))</f>
        <v/>
      </c>
      <c r="C69" s="46" t="b">
        <f aca="false">AND(A69,OR(ROW()=2,B69&lt;&gt;B68))</f>
        <v>0</v>
      </c>
      <c r="D69" s="46" t="b">
        <f aca="false">AND(A69,OR(NOT(A70),B70&lt;&gt;B69))</f>
        <v>0</v>
      </c>
      <c r="E69" s="1" t="n">
        <f aca="false">IF(A69,COUNTIF($B$2:$B$261,B69),0)</f>
        <v>0</v>
      </c>
      <c r="F69" s="1" t="str">
        <f aca="false">IF(A69,Dates!J69,"")</f>
        <v/>
      </c>
      <c r="G69" s="46" t="b">
        <f aca="false">AND(A69,OR(C69,F69&lt;&gt;F68))</f>
        <v>0</v>
      </c>
      <c r="H69" s="1" t="n">
        <f aca="false">IF(A69,COUNTIFS($B$2:$B$261,B69,$F$2:$F$261,F69),0)</f>
        <v>0</v>
      </c>
      <c r="I69" s="1" t="str">
        <f aca="false">IF(C69,"\multirow{"&amp;E69&amp;"}{*}{"&amp;B69&amp;"}","")</f>
        <v/>
      </c>
      <c r="J69" s="1" t="str">
        <f aca="false">IF(G69,IF(H69=1,F69,"\multirow{"&amp;H69&amp;"}{*}{"&amp;F69&amp;"}"),"")</f>
        <v/>
      </c>
      <c r="K69" s="1" t="str">
        <f aca="false">IF(A69,TEXT(Dates!K69,"00"),"")</f>
        <v/>
      </c>
      <c r="L69" s="1" t="str">
        <f aca="false">IF(A69,Dates!H69&amp;IF(C69,Settings!$B$2,""),"")</f>
        <v/>
      </c>
      <c r="M69" s="49" t="str">
        <f aca="false">IF(A69,IF(Schedule!I69="","",IF(ISNUMBER(Schedule!I69),IF(Schedule!I69&lt;10,Settings!$B$6&amp;TEXT(Schedule!I69,"#"),Schedule!I69),Schedule!I69)),"")</f>
        <v/>
      </c>
      <c r="N69" s="1" t="str">
        <f aca="false">IF(A69,IF(Schedule!J69="","",Schedule!J69),"")</f>
        <v/>
      </c>
      <c r="O69" s="1" t="str">
        <f aca="false">IF(A69,IF(AND(Settings!$B$14="longtable",NOT(D69)),Settings!$B$15,Settings!$B$3),"")</f>
        <v/>
      </c>
      <c r="P69" s="1" t="str">
        <f aca="false">IF(D69,Settings!$B$4,"")</f>
        <v/>
      </c>
    </row>
    <row r="70" customFormat="false" ht="15" hidden="false" customHeight="false" outlineLevel="0" collapsed="false">
      <c r="A70" s="46" t="b">
        <f aca="false">AND(Dates!F70&lt;&gt;"",ROW()&lt;=Settings!$B$13)</f>
        <v>0</v>
      </c>
      <c r="B70" s="1" t="str">
        <f aca="false">IF(NOT(A70),"",IF(Dates!D70&lt;&gt;"",Dates!D70,IF(ROW()=2,"",B69)))</f>
        <v/>
      </c>
      <c r="C70" s="46" t="b">
        <f aca="false">AND(A70,OR(ROW()=2,B70&lt;&gt;B69))</f>
        <v>0</v>
      </c>
      <c r="D70" s="46" t="b">
        <f aca="false">AND(A70,OR(NOT(A71),B71&lt;&gt;B70))</f>
        <v>0</v>
      </c>
      <c r="E70" s="1" t="n">
        <f aca="false">IF(A70,COUNTIF($B$2:$B$261,B70),0)</f>
        <v>0</v>
      </c>
      <c r="F70" s="1" t="str">
        <f aca="false">IF(A70,Dates!J70,"")</f>
        <v/>
      </c>
      <c r="G70" s="46" t="b">
        <f aca="false">AND(A70,OR(C70,F70&lt;&gt;F69))</f>
        <v>0</v>
      </c>
      <c r="H70" s="1" t="n">
        <f aca="false">IF(A70,COUNTIFS($B$2:$B$261,B70,$F$2:$F$261,F70),0)</f>
        <v>0</v>
      </c>
      <c r="I70" s="1" t="str">
        <f aca="false">IF(C70,"\multirow{"&amp;E70&amp;"}{*}{"&amp;B70&amp;"}","")</f>
        <v/>
      </c>
      <c r="J70" s="1" t="str">
        <f aca="false">IF(G70,IF(H70=1,F70,"\multirow{"&amp;H70&amp;"}{*}{"&amp;F70&amp;"}"),"")</f>
        <v/>
      </c>
      <c r="K70" s="1" t="str">
        <f aca="false">IF(A70,TEXT(Dates!K70,"00"),"")</f>
        <v/>
      </c>
      <c r="L70" s="1" t="str">
        <f aca="false">IF(A70,Dates!H70&amp;IF(C70,Settings!$B$2,""),"")</f>
        <v/>
      </c>
      <c r="M70" s="1" t="str">
        <f aca="false">IF(A70,IF(Schedule!I70="","",IF(ISNUMBER(Schedule!I70),IF(Schedule!I70&lt;10,Settings!$B$6&amp;TEXT(Schedule!I70,"#"),Schedule!I70),Schedule!I70)),"")</f>
        <v/>
      </c>
      <c r="N70" s="1" t="str">
        <f aca="false">IF(A70,IF(Schedule!J70="","",Schedule!J70),"")</f>
        <v/>
      </c>
      <c r="O70" s="1" t="str">
        <f aca="false">IF(A70,IF(AND(Settings!$B$14="longtable",NOT(D70)),Settings!$B$15,Settings!$B$3),"")</f>
        <v/>
      </c>
      <c r="P70" s="1" t="str">
        <f aca="false">IF(D70,Settings!$B$4,"")</f>
        <v/>
      </c>
    </row>
    <row r="71" customFormat="false" ht="15" hidden="false" customHeight="false" outlineLevel="0" collapsed="false">
      <c r="A71" s="46" t="b">
        <f aca="false">AND(Dates!F71&lt;&gt;"",ROW()&lt;=Settings!$B$13)</f>
        <v>0</v>
      </c>
      <c r="B71" s="1" t="str">
        <f aca="false">IF(NOT(A71),"",IF(Dates!D71&lt;&gt;"",Dates!D71,IF(ROW()=2,"",B70)))</f>
        <v/>
      </c>
      <c r="C71" s="46" t="b">
        <f aca="false">AND(A71,OR(ROW()=2,B71&lt;&gt;B70))</f>
        <v>0</v>
      </c>
      <c r="D71" s="46" t="b">
        <f aca="false">AND(A71,OR(NOT(A72),B72&lt;&gt;B71))</f>
        <v>0</v>
      </c>
      <c r="E71" s="1" t="n">
        <f aca="false">IF(A71,COUNTIF($B$2:$B$261,B71),0)</f>
        <v>0</v>
      </c>
      <c r="F71" s="1" t="str">
        <f aca="false">IF(A71,Dates!J71,"")</f>
        <v/>
      </c>
      <c r="G71" s="46" t="b">
        <f aca="false">AND(A71,OR(C71,F71&lt;&gt;F70))</f>
        <v>0</v>
      </c>
      <c r="H71" s="1" t="n">
        <f aca="false">IF(A71,COUNTIFS($B$2:$B$261,B71,$F$2:$F$261,F71),0)</f>
        <v>0</v>
      </c>
      <c r="I71" s="1" t="str">
        <f aca="false">IF(C71,"\multirow{"&amp;E71&amp;"}{*}{"&amp;B71&amp;"}","")</f>
        <v/>
      </c>
      <c r="J71" s="1" t="str">
        <f aca="false">IF(G71,IF(H71=1,F71,"\multirow{"&amp;H71&amp;"}{*}{"&amp;F71&amp;"}"),"")</f>
        <v/>
      </c>
      <c r="K71" s="1" t="str">
        <f aca="false">IF(A71,TEXT(Dates!K71,"00"),"")</f>
        <v/>
      </c>
      <c r="L71" s="1" t="str">
        <f aca="false">IF(A71,Dates!H71&amp;IF(C71,Settings!$B$2,""),"")</f>
        <v/>
      </c>
      <c r="M71" s="1" t="str">
        <f aca="false">IF(A71,IF(Schedule!I71="","",IF(ISNUMBER(Schedule!I71),IF(Schedule!I71&lt;10,Settings!$B$6&amp;TEXT(Schedule!I71,"#"),Schedule!I71),Schedule!I71)),"")</f>
        <v/>
      </c>
      <c r="N71" s="1" t="str">
        <f aca="false">IF(A71,IF(Schedule!J71="","",Schedule!J71),"")</f>
        <v/>
      </c>
      <c r="O71" s="1" t="str">
        <f aca="false">IF(A71,IF(AND(Settings!$B$14="longtable",NOT(D71)),Settings!$B$15,Settings!$B$3),"")</f>
        <v/>
      </c>
      <c r="P71" s="1" t="str">
        <f aca="false">IF(D71,Settings!$B$4,"")</f>
        <v/>
      </c>
    </row>
    <row r="72" customFormat="false" ht="15" hidden="false" customHeight="false" outlineLevel="0" collapsed="false">
      <c r="A72" s="46" t="b">
        <f aca="false">AND(Dates!F72&lt;&gt;"",ROW()&lt;=Settings!$B$13)</f>
        <v>0</v>
      </c>
      <c r="B72" s="1" t="str">
        <f aca="false">IF(NOT(A72),"",IF(Dates!D72&lt;&gt;"",Dates!D72,IF(ROW()=2,"",B71)))</f>
        <v/>
      </c>
      <c r="C72" s="46" t="b">
        <f aca="false">AND(A72,OR(ROW()=2,B72&lt;&gt;B71))</f>
        <v>0</v>
      </c>
      <c r="D72" s="46" t="b">
        <f aca="false">AND(A72,OR(NOT(A73),B73&lt;&gt;B72))</f>
        <v>0</v>
      </c>
      <c r="E72" s="1" t="n">
        <f aca="false">IF(A72,COUNTIF($B$2:$B$261,B72),0)</f>
        <v>0</v>
      </c>
      <c r="F72" s="1" t="str">
        <f aca="false">IF(A72,Dates!J72,"")</f>
        <v/>
      </c>
      <c r="G72" s="46" t="b">
        <f aca="false">AND(A72,OR(C72,F72&lt;&gt;F71))</f>
        <v>0</v>
      </c>
      <c r="H72" s="1" t="n">
        <f aca="false">IF(A72,COUNTIFS($B$2:$B$261,B72,$F$2:$F$261,F72),0)</f>
        <v>0</v>
      </c>
      <c r="I72" s="1" t="str">
        <f aca="false">IF(C72,"\multirow{"&amp;E72&amp;"}{*}{"&amp;B72&amp;"}","")</f>
        <v/>
      </c>
      <c r="J72" s="1" t="str">
        <f aca="false">IF(G72,IF(H72=1,F72,"\multirow{"&amp;H72&amp;"}{*}{"&amp;F72&amp;"}"),"")</f>
        <v/>
      </c>
      <c r="K72" s="1" t="str">
        <f aca="false">IF(A72,TEXT(Dates!K72,"00"),"")</f>
        <v/>
      </c>
      <c r="L72" s="1" t="str">
        <f aca="false">IF(A72,Dates!H72&amp;IF(C72,Settings!$B$2,""),"")</f>
        <v/>
      </c>
      <c r="M72" s="1" t="str">
        <f aca="false">IF(A72,IF(Schedule!I72="","",IF(ISNUMBER(Schedule!I72),IF(Schedule!I72&lt;10,Settings!$B$6&amp;TEXT(Schedule!I72,"#"),Schedule!I72),Schedule!I72)),"")</f>
        <v/>
      </c>
      <c r="N72" s="1" t="str">
        <f aca="false">IF(A72,IF(Schedule!J72="","",Schedule!J72),"")</f>
        <v/>
      </c>
      <c r="O72" s="1" t="str">
        <f aca="false">IF(A72,IF(AND(Settings!$B$14="longtable",NOT(D72)),Settings!$B$15,Settings!$B$3),"")</f>
        <v/>
      </c>
      <c r="P72" s="1" t="str">
        <f aca="false">IF(D72,Settings!$B$4,"")</f>
        <v/>
      </c>
    </row>
    <row r="73" customFormat="false" ht="15" hidden="false" customHeight="false" outlineLevel="0" collapsed="false">
      <c r="A73" s="46" t="b">
        <f aca="false">AND(Dates!F73&lt;&gt;"",ROW()&lt;=Settings!$B$13)</f>
        <v>0</v>
      </c>
      <c r="B73" s="1" t="str">
        <f aca="false">IF(NOT(A73),"",IF(Dates!D73&lt;&gt;"",Dates!D73,IF(ROW()=2,"",B72)))</f>
        <v/>
      </c>
      <c r="C73" s="46" t="b">
        <f aca="false">AND(A73,OR(ROW()=2,B73&lt;&gt;B72))</f>
        <v>0</v>
      </c>
      <c r="D73" s="46" t="b">
        <f aca="false">AND(A73,OR(NOT(A74),B74&lt;&gt;B73))</f>
        <v>0</v>
      </c>
      <c r="E73" s="1" t="n">
        <f aca="false">IF(A73,COUNTIF($B$2:$B$261,B73),0)</f>
        <v>0</v>
      </c>
      <c r="F73" s="1" t="str">
        <f aca="false">IF(A73,Dates!J73,"")</f>
        <v/>
      </c>
      <c r="G73" s="46" t="b">
        <f aca="false">AND(A73,OR(C73,F73&lt;&gt;F72))</f>
        <v>0</v>
      </c>
      <c r="H73" s="1" t="n">
        <f aca="false">IF(A73,COUNTIFS($B$2:$B$261,B73,$F$2:$F$261,F73),0)</f>
        <v>0</v>
      </c>
      <c r="I73" s="1" t="str">
        <f aca="false">IF(C73,"\multirow{"&amp;E73&amp;"}{*}{"&amp;B73&amp;"}","")</f>
        <v/>
      </c>
      <c r="J73" s="1" t="str">
        <f aca="false">IF(G73,IF(H73=1,F73,"\multirow{"&amp;H73&amp;"}{*}{"&amp;F73&amp;"}"),"")</f>
        <v/>
      </c>
      <c r="K73" s="1" t="str">
        <f aca="false">IF(A73,TEXT(Dates!K73,"00"),"")</f>
        <v/>
      </c>
      <c r="L73" s="1" t="str">
        <f aca="false">IF(A73,Dates!H73&amp;IF(C73,Settings!$B$2,""),"")</f>
        <v/>
      </c>
      <c r="M73" s="49" t="str">
        <f aca="false">IF(A73,IF(Schedule!I73="","",IF(ISNUMBER(Schedule!I73),IF(Schedule!I73&lt;10,Settings!$B$6&amp;TEXT(Schedule!I73,"#"),Schedule!I73),Schedule!I73)),"")</f>
        <v/>
      </c>
      <c r="N73" s="1" t="str">
        <f aca="false">IF(A73,IF(Schedule!J73="","",Schedule!J73),"")</f>
        <v/>
      </c>
      <c r="O73" s="1" t="str">
        <f aca="false">IF(A73,IF(AND(Settings!$B$14="longtable",NOT(D73)),Settings!$B$15,Settings!$B$3),"")</f>
        <v/>
      </c>
      <c r="P73" s="1" t="str">
        <f aca="false">IF(D73,Settings!$B$4,"")</f>
        <v/>
      </c>
    </row>
    <row r="74" customFormat="false" ht="15" hidden="false" customHeight="false" outlineLevel="0" collapsed="false">
      <c r="A74" s="46" t="b">
        <f aca="false">AND(Dates!F74&lt;&gt;"",ROW()&lt;=Settings!$B$13)</f>
        <v>0</v>
      </c>
      <c r="B74" s="1" t="str">
        <f aca="false">IF(NOT(A74),"",IF(Dates!D74&lt;&gt;"",Dates!D74,IF(ROW()=2,"",B73)))</f>
        <v/>
      </c>
      <c r="C74" s="46" t="b">
        <f aca="false">AND(A74,OR(ROW()=2,B74&lt;&gt;B73))</f>
        <v>0</v>
      </c>
      <c r="D74" s="46" t="b">
        <f aca="false">AND(A74,OR(NOT(A75),B75&lt;&gt;B74))</f>
        <v>0</v>
      </c>
      <c r="E74" s="1" t="n">
        <f aca="false">IF(A74,COUNTIF($B$2:$B$261,B74),0)</f>
        <v>0</v>
      </c>
      <c r="F74" s="1" t="str">
        <f aca="false">IF(A74,Dates!J74,"")</f>
        <v/>
      </c>
      <c r="G74" s="46" t="b">
        <f aca="false">AND(A74,OR(C74,F74&lt;&gt;F73))</f>
        <v>0</v>
      </c>
      <c r="H74" s="1" t="n">
        <f aca="false">IF(A74,COUNTIFS($B$2:$B$261,B74,$F$2:$F$261,F74),0)</f>
        <v>0</v>
      </c>
      <c r="I74" s="1" t="str">
        <f aca="false">IF(C74,"\multirow{"&amp;E74&amp;"}{*}{"&amp;B74&amp;"}","")</f>
        <v/>
      </c>
      <c r="J74" s="1" t="str">
        <f aca="false">IF(G74,IF(H74=1,F74,"\multirow{"&amp;H74&amp;"}{*}{"&amp;F74&amp;"}"),"")</f>
        <v/>
      </c>
      <c r="K74" s="1" t="str">
        <f aca="false">IF(A74,TEXT(Dates!K74,"00"),"")</f>
        <v/>
      </c>
      <c r="L74" s="1" t="str">
        <f aca="false">IF(A74,Dates!H74&amp;IF(C74,Settings!$B$2,""),"")</f>
        <v/>
      </c>
      <c r="M74" s="49" t="str">
        <f aca="false">IF(A74,IF(Schedule!I74="","",IF(ISNUMBER(Schedule!I74),IF(Schedule!I74&lt;10,Settings!$B$6&amp;TEXT(Schedule!I74,"#"),Schedule!I74),Schedule!I74)),"")</f>
        <v/>
      </c>
      <c r="N74" s="1" t="str">
        <f aca="false">IF(A74,IF(Schedule!J74="","",Schedule!J74),"")</f>
        <v/>
      </c>
      <c r="O74" s="1" t="str">
        <f aca="false">IF(A74,IF(AND(Settings!$B$14="longtable",NOT(D74)),Settings!$B$15,Settings!$B$3),"")</f>
        <v/>
      </c>
      <c r="P74" s="1" t="str">
        <f aca="false">IF(D74,Settings!$B$4,"")</f>
        <v/>
      </c>
    </row>
    <row r="75" customFormat="false" ht="15" hidden="false" customHeight="false" outlineLevel="0" collapsed="false">
      <c r="A75" s="46" t="b">
        <f aca="false">AND(Dates!F75&lt;&gt;"",ROW()&lt;=Settings!$B$13)</f>
        <v>0</v>
      </c>
      <c r="B75" s="1" t="str">
        <f aca="false">IF(NOT(A75),"",IF(Dates!D75&lt;&gt;"",Dates!D75,IF(ROW()=2,"",B74)))</f>
        <v/>
      </c>
      <c r="C75" s="46" t="b">
        <f aca="false">AND(A75,OR(ROW()=2,B75&lt;&gt;B74))</f>
        <v>0</v>
      </c>
      <c r="D75" s="46" t="b">
        <f aca="false">AND(A75,OR(NOT(A76),B76&lt;&gt;B75))</f>
        <v>0</v>
      </c>
      <c r="E75" s="1" t="n">
        <f aca="false">IF(A75,COUNTIF($B$2:$B$261,B75),0)</f>
        <v>0</v>
      </c>
      <c r="F75" s="1" t="str">
        <f aca="false">IF(A75,Dates!J75,"")</f>
        <v/>
      </c>
      <c r="G75" s="46" t="b">
        <f aca="false">AND(A75,OR(C75,F75&lt;&gt;F74))</f>
        <v>0</v>
      </c>
      <c r="H75" s="1" t="n">
        <f aca="false">IF(A75,COUNTIFS($B$2:$B$261,B75,$F$2:$F$261,F75),0)</f>
        <v>0</v>
      </c>
      <c r="I75" s="1" t="str">
        <f aca="false">IF(C75,"\multirow{"&amp;E75&amp;"}{*}{"&amp;B75&amp;"}","")</f>
        <v/>
      </c>
      <c r="J75" s="1" t="str">
        <f aca="false">IF(G75,IF(H75=1,F75,"\multirow{"&amp;H75&amp;"}{*}{"&amp;F75&amp;"}"),"")</f>
        <v/>
      </c>
      <c r="K75" s="1" t="str">
        <f aca="false">IF(A75,TEXT(Dates!K75,"00"),"")</f>
        <v/>
      </c>
      <c r="L75" s="1" t="str">
        <f aca="false">IF(A75,Dates!H75&amp;IF(C75,Settings!$B$2,""),"")</f>
        <v/>
      </c>
      <c r="M75" s="49" t="str">
        <f aca="false">IF(A75,IF(Schedule!I75="","",IF(ISNUMBER(Schedule!I75),IF(Schedule!I75&lt;10,Settings!$B$6&amp;TEXT(Schedule!I75,"#"),Schedule!I75),Schedule!I75)),"")</f>
        <v/>
      </c>
      <c r="N75" s="1" t="str">
        <f aca="false">IF(A75,IF(Schedule!J75="","",Schedule!J75),"")</f>
        <v/>
      </c>
      <c r="O75" s="1" t="str">
        <f aca="false">IF(A75,IF(AND(Settings!$B$14="longtable",NOT(D75)),Settings!$B$15,Settings!$B$3),"")</f>
        <v/>
      </c>
      <c r="P75" s="1" t="str">
        <f aca="false">IF(D75,Settings!$B$4,"")</f>
        <v/>
      </c>
    </row>
    <row r="76" customFormat="false" ht="15" hidden="false" customHeight="false" outlineLevel="0" collapsed="false">
      <c r="A76" s="46" t="b">
        <f aca="false">AND(Dates!F76&lt;&gt;"",ROW()&lt;=Settings!$B$13)</f>
        <v>0</v>
      </c>
      <c r="B76" s="1" t="str">
        <f aca="false">IF(NOT(A76),"",IF(Dates!D76&lt;&gt;"",Dates!D76,IF(ROW()=2,"",B75)))</f>
        <v/>
      </c>
      <c r="C76" s="46" t="b">
        <f aca="false">AND(A76,OR(ROW()=2,B76&lt;&gt;B75))</f>
        <v>0</v>
      </c>
      <c r="D76" s="46" t="b">
        <f aca="false">AND(A76,OR(NOT(A77),B77&lt;&gt;B76))</f>
        <v>0</v>
      </c>
      <c r="E76" s="1" t="n">
        <f aca="false">IF(A76,COUNTIF($B$2:$B$261,B76),0)</f>
        <v>0</v>
      </c>
      <c r="F76" s="1" t="str">
        <f aca="false">IF(A76,Dates!J76,"")</f>
        <v/>
      </c>
      <c r="G76" s="46" t="b">
        <f aca="false">AND(A76,OR(C76,F76&lt;&gt;F75))</f>
        <v>0</v>
      </c>
      <c r="H76" s="1" t="n">
        <f aca="false">IF(A76,COUNTIFS($B$2:$B$261,B76,$F$2:$F$261,F76),0)</f>
        <v>0</v>
      </c>
      <c r="I76" s="1" t="str">
        <f aca="false">IF(C76,"\multirow{"&amp;E76&amp;"}{*}{"&amp;B76&amp;"}","")</f>
        <v/>
      </c>
      <c r="J76" s="1" t="str">
        <f aca="false">IF(G76,IF(H76=1,F76,"\multirow{"&amp;H76&amp;"}{*}{"&amp;F76&amp;"}"),"")</f>
        <v/>
      </c>
      <c r="K76" s="1" t="str">
        <f aca="false">IF(A76,TEXT(Dates!K76,"00"),"")</f>
        <v/>
      </c>
      <c r="L76" s="1" t="str">
        <f aca="false">IF(A76,Dates!H76&amp;IF(C76,Settings!$B$2,""),"")</f>
        <v/>
      </c>
      <c r="M76" s="49" t="str">
        <f aca="false">IF(A76,IF(Schedule!I76="","",IF(ISNUMBER(Schedule!I76),IF(Schedule!I76&lt;10,Settings!$B$6&amp;TEXT(Schedule!I76,"#"),Schedule!I76),Schedule!I76)),"")</f>
        <v/>
      </c>
      <c r="N76" s="1" t="str">
        <f aca="false">IF(A76,IF(Schedule!J76="","",Schedule!J76),"")</f>
        <v/>
      </c>
      <c r="O76" s="1" t="str">
        <f aca="false">IF(A76,IF(AND(Settings!$B$14="longtable",NOT(D76)),Settings!$B$15,Settings!$B$3),"")</f>
        <v/>
      </c>
      <c r="P76" s="1" t="str">
        <f aca="false">IF(D76,Settings!$B$4,"")</f>
        <v/>
      </c>
    </row>
    <row r="77" customFormat="false" ht="15" hidden="false" customHeight="false" outlineLevel="0" collapsed="false">
      <c r="A77" s="46" t="b">
        <f aca="false">AND(Dates!F77&lt;&gt;"",ROW()&lt;=Settings!$B$13)</f>
        <v>0</v>
      </c>
      <c r="B77" s="1" t="str">
        <f aca="false">IF(NOT(A77),"",IF(Dates!D77&lt;&gt;"",Dates!D77,IF(ROW()=2,"",B76)))</f>
        <v/>
      </c>
      <c r="C77" s="46" t="b">
        <f aca="false">AND(A77,OR(ROW()=2,B77&lt;&gt;B76))</f>
        <v>0</v>
      </c>
      <c r="D77" s="46" t="b">
        <f aca="false">AND(A77,OR(NOT(A78),B78&lt;&gt;B77))</f>
        <v>0</v>
      </c>
      <c r="E77" s="1" t="n">
        <f aca="false">IF(A77,COUNTIF($B$2:$B$261,B77),0)</f>
        <v>0</v>
      </c>
      <c r="F77" s="1" t="str">
        <f aca="false">IF(A77,Dates!J77,"")</f>
        <v/>
      </c>
      <c r="G77" s="46" t="b">
        <f aca="false">AND(A77,OR(C77,F77&lt;&gt;F76))</f>
        <v>0</v>
      </c>
      <c r="H77" s="1" t="n">
        <f aca="false">IF(A77,COUNTIFS($B$2:$B$261,B77,$F$2:$F$261,F77),0)</f>
        <v>0</v>
      </c>
      <c r="I77" s="1" t="str">
        <f aca="false">IF(C77,"\multirow{"&amp;E77&amp;"}{*}{"&amp;B77&amp;"}","")</f>
        <v/>
      </c>
      <c r="J77" s="1" t="str">
        <f aca="false">IF(G77,IF(H77=1,F77,"\multirow{"&amp;H77&amp;"}{*}{"&amp;F77&amp;"}"),"")</f>
        <v/>
      </c>
      <c r="K77" s="1" t="str">
        <f aca="false">IF(A77,TEXT(Dates!K77,"00"),"")</f>
        <v/>
      </c>
      <c r="L77" s="1" t="str">
        <f aca="false">IF(A77,Dates!H77&amp;IF(C77,Settings!$B$2,""),"")</f>
        <v/>
      </c>
      <c r="M77" s="49" t="str">
        <f aca="false">IF(A77,IF(Schedule!I77="","",IF(ISNUMBER(Schedule!I77),IF(Schedule!I77&lt;10,Settings!$B$6&amp;TEXT(Schedule!I77,"#"),Schedule!I77),Schedule!I77)),"")</f>
        <v/>
      </c>
      <c r="N77" s="1" t="str">
        <f aca="false">IF(A77,IF(Schedule!J77="","",Schedule!J77),"")</f>
        <v/>
      </c>
      <c r="O77" s="1" t="str">
        <f aca="false">IF(A77,IF(AND(Settings!$B$14="longtable",NOT(D77)),Settings!$B$15,Settings!$B$3),"")</f>
        <v/>
      </c>
      <c r="P77" s="1" t="str">
        <f aca="false">IF(D77,Settings!$B$4,"")</f>
        <v/>
      </c>
    </row>
    <row r="78" customFormat="false" ht="15" hidden="false" customHeight="false" outlineLevel="0" collapsed="false">
      <c r="A78" s="46" t="b">
        <f aca="false">AND(Dates!F78&lt;&gt;"",ROW()&lt;=Settings!$B$13)</f>
        <v>0</v>
      </c>
      <c r="B78" s="1" t="str">
        <f aca="false">IF(NOT(A78),"",IF(Dates!D78&lt;&gt;"",Dates!D78,IF(ROW()=2,"",B77)))</f>
        <v/>
      </c>
      <c r="C78" s="46" t="b">
        <f aca="false">AND(A78,OR(ROW()=2,B78&lt;&gt;B77))</f>
        <v>0</v>
      </c>
      <c r="D78" s="46" t="b">
        <f aca="false">AND(A78,OR(NOT(A79),B79&lt;&gt;B78))</f>
        <v>0</v>
      </c>
      <c r="E78" s="1" t="n">
        <f aca="false">IF(A78,COUNTIF($B$2:$B$261,B78),0)</f>
        <v>0</v>
      </c>
      <c r="F78" s="1" t="str">
        <f aca="false">IF(A78,Dates!J78,"")</f>
        <v/>
      </c>
      <c r="G78" s="46" t="b">
        <f aca="false">AND(A78,OR(C78,F78&lt;&gt;F77))</f>
        <v>0</v>
      </c>
      <c r="H78" s="1" t="n">
        <f aca="false">IF(A78,COUNTIFS($B$2:$B$261,B78,$F$2:$F$261,F78),0)</f>
        <v>0</v>
      </c>
      <c r="I78" s="1" t="str">
        <f aca="false">IF(C78,"\multirow{"&amp;E78&amp;"}{*}{"&amp;B78&amp;"}","")</f>
        <v/>
      </c>
      <c r="J78" s="1" t="str">
        <f aca="false">IF(G78,IF(H78=1,F78,"\multirow{"&amp;H78&amp;"}{*}{"&amp;F78&amp;"}"),"")</f>
        <v/>
      </c>
      <c r="K78" s="1" t="str">
        <f aca="false">IF(A78,TEXT(Dates!K78,"00"),"")</f>
        <v/>
      </c>
      <c r="L78" s="1" t="str">
        <f aca="false">IF(A78,Dates!H78&amp;IF(C78,Settings!$B$2,""),"")</f>
        <v/>
      </c>
      <c r="M78" s="49" t="str">
        <f aca="false">IF(A78,IF(Schedule!I78="","",IF(ISNUMBER(Schedule!I78),IF(Schedule!I78&lt;10,Settings!$B$6&amp;TEXT(Schedule!I78,"#"),Schedule!I78),Schedule!I78)),"")</f>
        <v/>
      </c>
      <c r="N78" s="1" t="str">
        <f aca="false">IF(A78,IF(Schedule!J78="","",Schedule!J78),"")</f>
        <v/>
      </c>
      <c r="O78" s="1" t="str">
        <f aca="false">IF(A78,IF(AND(Settings!$B$14="longtable",NOT(D78)),Settings!$B$15,Settings!$B$3),"")</f>
        <v/>
      </c>
      <c r="P78" s="1" t="str">
        <f aca="false">IF(D78,Settings!$B$4,"")</f>
        <v/>
      </c>
    </row>
    <row r="79" customFormat="false" ht="15" hidden="false" customHeight="false" outlineLevel="0" collapsed="false">
      <c r="A79" s="46" t="b">
        <f aca="false">AND(Dates!F79&lt;&gt;"",ROW()&lt;=Settings!$B$13)</f>
        <v>0</v>
      </c>
      <c r="B79" s="1" t="str">
        <f aca="false">IF(NOT(A79),"",IF(Dates!D79&lt;&gt;"",Dates!D79,IF(ROW()=2,"",B78)))</f>
        <v/>
      </c>
      <c r="C79" s="46" t="b">
        <f aca="false">AND(A79,OR(ROW()=2,B79&lt;&gt;B78))</f>
        <v>0</v>
      </c>
      <c r="D79" s="46" t="b">
        <f aca="false">AND(A79,OR(NOT(A80),B80&lt;&gt;B79))</f>
        <v>0</v>
      </c>
      <c r="E79" s="1" t="n">
        <f aca="false">IF(A79,COUNTIF($B$2:$B$261,B79),0)</f>
        <v>0</v>
      </c>
      <c r="F79" s="1" t="str">
        <f aca="false">IF(A79,Dates!J79,"")</f>
        <v/>
      </c>
      <c r="G79" s="46" t="b">
        <f aca="false">AND(A79,OR(C79,F79&lt;&gt;F78))</f>
        <v>0</v>
      </c>
      <c r="H79" s="1" t="n">
        <f aca="false">IF(A79,COUNTIFS($B$2:$B$261,B79,$F$2:$F$261,F79),0)</f>
        <v>0</v>
      </c>
      <c r="I79" s="1" t="str">
        <f aca="false">IF(C79,"\multirow{"&amp;E79&amp;"}{*}{"&amp;B79&amp;"}","")</f>
        <v/>
      </c>
      <c r="J79" s="1" t="str">
        <f aca="false">IF(G79,IF(H79=1,F79,"\multirow{"&amp;H79&amp;"}{*}{"&amp;F79&amp;"}"),"")</f>
        <v/>
      </c>
      <c r="K79" s="1" t="str">
        <f aca="false">IF(A79,TEXT(Dates!K79,"00"),"")</f>
        <v/>
      </c>
      <c r="L79" s="1" t="str">
        <f aca="false">IF(A79,Dates!H79&amp;IF(C79,Settings!$B$2,""),"")</f>
        <v/>
      </c>
      <c r="M79" s="49" t="str">
        <f aca="false">IF(A79,IF(Schedule!I79="","",IF(ISNUMBER(Schedule!I79),IF(Schedule!I79&lt;10,Settings!$B$6&amp;TEXT(Schedule!I79,"#"),Schedule!I79),Schedule!I79)),"")</f>
        <v/>
      </c>
      <c r="N79" s="1" t="str">
        <f aca="false">IF(A79,IF(Schedule!J79="","",Schedule!J79),"")</f>
        <v/>
      </c>
      <c r="O79" s="1" t="str">
        <f aca="false">IF(A79,IF(AND(Settings!$B$14="longtable",NOT(D79)),Settings!$B$15,Settings!$B$3),"")</f>
        <v/>
      </c>
      <c r="P79" s="1" t="str">
        <f aca="false">IF(D79,Settings!$B$4,"")</f>
        <v/>
      </c>
    </row>
    <row r="80" customFormat="false" ht="15" hidden="false" customHeight="false" outlineLevel="0" collapsed="false">
      <c r="A80" s="46" t="b">
        <f aca="false">AND(Dates!F80&lt;&gt;"",ROW()&lt;=Settings!$B$13)</f>
        <v>0</v>
      </c>
      <c r="B80" s="1" t="str">
        <f aca="false">IF(NOT(A80),"",IF(Dates!D80&lt;&gt;"",Dates!D80,IF(ROW()=2,"",B79)))</f>
        <v/>
      </c>
      <c r="C80" s="46" t="b">
        <f aca="false">AND(A80,OR(ROW()=2,B80&lt;&gt;B79))</f>
        <v>0</v>
      </c>
      <c r="D80" s="46" t="b">
        <f aca="false">AND(A80,OR(NOT(A81),B81&lt;&gt;B80))</f>
        <v>0</v>
      </c>
      <c r="E80" s="1" t="n">
        <f aca="false">IF(A80,COUNTIF($B$2:$B$261,B80),0)</f>
        <v>0</v>
      </c>
      <c r="F80" s="1" t="str">
        <f aca="false">IF(A80,Dates!J80,"")</f>
        <v/>
      </c>
      <c r="G80" s="46" t="b">
        <f aca="false">AND(A80,OR(C80,F80&lt;&gt;F79))</f>
        <v>0</v>
      </c>
      <c r="H80" s="1" t="n">
        <f aca="false">IF(A80,COUNTIFS($B$2:$B$261,B80,$F$2:$F$261,F80),0)</f>
        <v>0</v>
      </c>
      <c r="I80" s="1" t="str">
        <f aca="false">IF(C80,"\multirow{"&amp;E80&amp;"}{*}{"&amp;B80&amp;"}","")</f>
        <v/>
      </c>
      <c r="J80" s="1" t="str">
        <f aca="false">IF(G80,IF(H80=1,F80,"\multirow{"&amp;H80&amp;"}{*}{"&amp;F80&amp;"}"),"")</f>
        <v/>
      </c>
      <c r="K80" s="1" t="str">
        <f aca="false">IF(A80,TEXT(Dates!K80,"00"),"")</f>
        <v/>
      </c>
      <c r="L80" s="1" t="str">
        <f aca="false">IF(A80,Dates!H80&amp;IF(C80,Settings!$B$2,""),"")</f>
        <v/>
      </c>
      <c r="M80" s="49" t="str">
        <f aca="false">IF(A80,IF(Schedule!I80="","",IF(ISNUMBER(Schedule!I80),IF(Schedule!I80&lt;10,Settings!$B$6&amp;TEXT(Schedule!I80,"#"),Schedule!I80),Schedule!I80)),"")</f>
        <v/>
      </c>
      <c r="N80" s="1" t="str">
        <f aca="false">IF(A80,IF(Schedule!J80="","",Schedule!J80),"")</f>
        <v/>
      </c>
      <c r="O80" s="1" t="str">
        <f aca="false">IF(A80,IF(AND(Settings!$B$14="longtable",NOT(D80)),Settings!$B$15,Settings!$B$3),"")</f>
        <v/>
      </c>
      <c r="P80" s="1" t="str">
        <f aca="false">IF(D80,Settings!$B$4,"")</f>
        <v/>
      </c>
    </row>
    <row r="81" customFormat="false" ht="15" hidden="false" customHeight="false" outlineLevel="0" collapsed="false">
      <c r="A81" s="46" t="b">
        <f aca="false">AND(Dates!F81&lt;&gt;"",ROW()&lt;=Settings!$B$13)</f>
        <v>0</v>
      </c>
      <c r="B81" s="1" t="str">
        <f aca="false">IF(NOT(A81),"",IF(Dates!D81&lt;&gt;"",Dates!D81,IF(ROW()=2,"",B80)))</f>
        <v/>
      </c>
      <c r="C81" s="46" t="b">
        <f aca="false">AND(A81,OR(ROW()=2,B81&lt;&gt;B80))</f>
        <v>0</v>
      </c>
      <c r="D81" s="46" t="b">
        <f aca="false">AND(A81,OR(NOT(A82),B82&lt;&gt;B81))</f>
        <v>0</v>
      </c>
      <c r="E81" s="1" t="n">
        <f aca="false">IF(A81,COUNTIF($B$2:$B$261,B81),0)</f>
        <v>0</v>
      </c>
      <c r="F81" s="1" t="str">
        <f aca="false">IF(A81,Dates!J81,"")</f>
        <v/>
      </c>
      <c r="G81" s="46" t="b">
        <f aca="false">AND(A81,OR(C81,F81&lt;&gt;F80))</f>
        <v>0</v>
      </c>
      <c r="H81" s="1" t="n">
        <f aca="false">IF(A81,COUNTIFS($B$2:$B$261,B81,$F$2:$F$261,F81),0)</f>
        <v>0</v>
      </c>
      <c r="I81" s="1" t="str">
        <f aca="false">IF(C81,"\multirow{"&amp;E81&amp;"}{*}{"&amp;B81&amp;"}","")</f>
        <v/>
      </c>
      <c r="J81" s="1" t="str">
        <f aca="false">IF(G81,IF(H81=1,F81,"\multirow{"&amp;H81&amp;"}{*}{"&amp;F81&amp;"}"),"")</f>
        <v/>
      </c>
      <c r="K81" s="1" t="str">
        <f aca="false">IF(A81,TEXT(Dates!K81,"00"),"")</f>
        <v/>
      </c>
      <c r="L81" s="1" t="str">
        <f aca="false">IF(A81,Dates!H81&amp;IF(C81,Settings!$B$2,""),"")</f>
        <v/>
      </c>
      <c r="M81" s="1" t="str">
        <f aca="false">IF(A81,IF(Schedule!I81="","",IF(ISNUMBER(Schedule!I81),IF(Schedule!I81&lt;10,Settings!$B$6&amp;TEXT(Schedule!I81,"#"),Schedule!I81),Schedule!I81)),"")</f>
        <v/>
      </c>
      <c r="N81" s="1" t="str">
        <f aca="false">IF(A81,IF(Schedule!J81="","",Schedule!J81),"")</f>
        <v/>
      </c>
      <c r="O81" s="1" t="str">
        <f aca="false">IF(A81,IF(AND(Settings!$B$14="longtable",NOT(D81)),Settings!$B$15,Settings!$B$3),"")</f>
        <v/>
      </c>
      <c r="P81" s="1" t="str">
        <f aca="false">IF(D81,Settings!$B$4,"")</f>
        <v/>
      </c>
    </row>
    <row r="82" customFormat="false" ht="15" hidden="false" customHeight="false" outlineLevel="0" collapsed="false">
      <c r="A82" s="46" t="b">
        <f aca="false">AND(Dates!F82&lt;&gt;"",ROW()&lt;=Settings!$B$13)</f>
        <v>0</v>
      </c>
      <c r="B82" s="1" t="str">
        <f aca="false">IF(NOT(A82),"",IF(Dates!D82&lt;&gt;"",Dates!D82,IF(ROW()=2,"",B81)))</f>
        <v/>
      </c>
      <c r="C82" s="46" t="b">
        <f aca="false">AND(A82,OR(ROW()=2,B82&lt;&gt;B81))</f>
        <v>0</v>
      </c>
      <c r="D82" s="46" t="b">
        <f aca="false">AND(A82,OR(NOT(A83),B83&lt;&gt;B82))</f>
        <v>0</v>
      </c>
      <c r="E82" s="1" t="n">
        <f aca="false">IF(A82,COUNTIF($B$2:$B$261,B82),0)</f>
        <v>0</v>
      </c>
      <c r="F82" s="1" t="str">
        <f aca="false">IF(A82,Dates!J82,"")</f>
        <v/>
      </c>
      <c r="G82" s="46" t="b">
        <f aca="false">AND(A82,OR(C82,F82&lt;&gt;F81))</f>
        <v>0</v>
      </c>
      <c r="H82" s="1" t="n">
        <f aca="false">IF(A82,COUNTIFS($B$2:$B$261,B82,$F$2:$F$261,F82),0)</f>
        <v>0</v>
      </c>
      <c r="I82" s="1" t="str">
        <f aca="false">IF(C82,"\multirow{"&amp;E82&amp;"}{*}{"&amp;B82&amp;"}","")</f>
        <v/>
      </c>
      <c r="J82" s="1" t="str">
        <f aca="false">IF(G82,IF(H82=1,F82,"\multirow{"&amp;H82&amp;"}{*}{"&amp;F82&amp;"}"),"")</f>
        <v/>
      </c>
      <c r="K82" s="1" t="str">
        <f aca="false">IF(A82,TEXT(Dates!K82,"00"),"")</f>
        <v/>
      </c>
      <c r="L82" s="1" t="str">
        <f aca="false">IF(A82,Dates!H82&amp;IF(C82,Settings!$B$2,""),"")</f>
        <v/>
      </c>
      <c r="M82" s="49" t="str">
        <f aca="false">IF(A82,IF(Schedule!I82="","",IF(ISNUMBER(Schedule!I82),IF(Schedule!I82&lt;10,Settings!$B$6&amp;TEXT(Schedule!I82,"#"),Schedule!I82),Schedule!I82)),"")</f>
        <v/>
      </c>
      <c r="N82" s="1" t="str">
        <f aca="false">IF(A82,IF(Schedule!J82="","",Schedule!J82),"")</f>
        <v/>
      </c>
      <c r="O82" s="1" t="str">
        <f aca="false">IF(A82,IF(AND(Settings!$B$14="longtable",NOT(D82)),Settings!$B$15,Settings!$B$3),"")</f>
        <v/>
      </c>
      <c r="P82" s="1" t="str">
        <f aca="false">IF(D82,Settings!$B$4,"")</f>
        <v/>
      </c>
    </row>
    <row r="83" customFormat="false" ht="15" hidden="false" customHeight="false" outlineLevel="0" collapsed="false">
      <c r="A83" s="46" t="b">
        <f aca="false">AND(Dates!F83&lt;&gt;"",ROW()&lt;=Settings!$B$13)</f>
        <v>0</v>
      </c>
      <c r="B83" s="1" t="str">
        <f aca="false">IF(NOT(A83),"",IF(Dates!D83&lt;&gt;"",Dates!D83,IF(ROW()=2,"",B82)))</f>
        <v/>
      </c>
      <c r="C83" s="46" t="b">
        <f aca="false">AND(A83,OR(ROW()=2,B83&lt;&gt;B82))</f>
        <v>0</v>
      </c>
      <c r="D83" s="46" t="b">
        <f aca="false">AND(A83,OR(NOT(A84),B84&lt;&gt;B83))</f>
        <v>0</v>
      </c>
      <c r="E83" s="1" t="n">
        <f aca="false">IF(A83,COUNTIF($B$2:$B$261,B83),0)</f>
        <v>0</v>
      </c>
      <c r="F83" s="1" t="str">
        <f aca="false">IF(A83,Dates!J83,"")</f>
        <v/>
      </c>
      <c r="G83" s="46" t="b">
        <f aca="false">AND(A83,OR(C83,F83&lt;&gt;F82))</f>
        <v>0</v>
      </c>
      <c r="H83" s="1" t="n">
        <f aca="false">IF(A83,COUNTIFS($B$2:$B$261,B83,$F$2:$F$261,F83),0)</f>
        <v>0</v>
      </c>
      <c r="I83" s="1" t="str">
        <f aca="false">IF(C83,"\multirow{"&amp;E83&amp;"}{*}{"&amp;B83&amp;"}","")</f>
        <v/>
      </c>
      <c r="J83" s="1" t="str">
        <f aca="false">IF(G83,IF(H83=1,F83,"\multirow{"&amp;H83&amp;"}{*}{"&amp;F83&amp;"}"),"")</f>
        <v/>
      </c>
      <c r="K83" s="1" t="str">
        <f aca="false">IF(A83,TEXT(Dates!K83,"00"),"")</f>
        <v/>
      </c>
      <c r="L83" s="1" t="str">
        <f aca="false">IF(A83,Dates!H83&amp;IF(C83,Settings!$B$2,""),"")</f>
        <v/>
      </c>
      <c r="M83" s="49" t="str">
        <f aca="false">IF(A83,IF(Schedule!I83="","",IF(ISNUMBER(Schedule!I83),IF(Schedule!I83&lt;10,Settings!$B$6&amp;TEXT(Schedule!I83,"#"),Schedule!I83),Schedule!I83)),"")</f>
        <v/>
      </c>
      <c r="N83" s="1" t="str">
        <f aca="false">IF(A83,IF(Schedule!J83="","",Schedule!J83),"")</f>
        <v/>
      </c>
      <c r="O83" s="1" t="str">
        <f aca="false">IF(A83,IF(AND(Settings!$B$14="longtable",NOT(D83)),Settings!$B$15,Settings!$B$3),"")</f>
        <v/>
      </c>
      <c r="P83" s="1" t="str">
        <f aca="false">IF(D83,Settings!$B$4,"")</f>
        <v/>
      </c>
    </row>
    <row r="84" customFormat="false" ht="15" hidden="false" customHeight="false" outlineLevel="0" collapsed="false">
      <c r="A84" s="46" t="b">
        <f aca="false">AND(Dates!F84&lt;&gt;"",ROW()&lt;=Settings!$B$13)</f>
        <v>0</v>
      </c>
      <c r="B84" s="1" t="str">
        <f aca="false">IF(NOT(A84),"",IF(Dates!D84&lt;&gt;"",Dates!D84,IF(ROW()=2,"",B83)))</f>
        <v/>
      </c>
      <c r="C84" s="46" t="b">
        <f aca="false">AND(A84,OR(ROW()=2,B84&lt;&gt;B83))</f>
        <v>0</v>
      </c>
      <c r="D84" s="46" t="b">
        <f aca="false">AND(A84,OR(NOT(A85),B85&lt;&gt;B84))</f>
        <v>0</v>
      </c>
      <c r="E84" s="1" t="n">
        <f aca="false">IF(A84,COUNTIF($B$2:$B$261,B84),0)</f>
        <v>0</v>
      </c>
      <c r="F84" s="1" t="str">
        <f aca="false">IF(A84,Dates!J84,"")</f>
        <v/>
      </c>
      <c r="G84" s="46" t="b">
        <f aca="false">AND(A84,OR(C84,F84&lt;&gt;F83))</f>
        <v>0</v>
      </c>
      <c r="H84" s="1" t="n">
        <f aca="false">IF(A84,COUNTIFS($B$2:$B$261,B84,$F$2:$F$261,F84),0)</f>
        <v>0</v>
      </c>
      <c r="I84" s="1" t="str">
        <f aca="false">IF(C84,"\multirow{"&amp;E84&amp;"}{*}{"&amp;B84&amp;"}","")</f>
        <v/>
      </c>
      <c r="J84" s="1" t="str">
        <f aca="false">IF(G84,IF(H84=1,F84,"\multirow{"&amp;H84&amp;"}{*}{"&amp;F84&amp;"}"),"")</f>
        <v/>
      </c>
      <c r="K84" s="1" t="str">
        <f aca="false">IF(A84,TEXT(Dates!K84,"00"),"")</f>
        <v/>
      </c>
      <c r="L84" s="1" t="str">
        <f aca="false">IF(A84,Dates!H84&amp;IF(C84,Settings!$B$2,""),"")</f>
        <v/>
      </c>
      <c r="M84" s="49" t="str">
        <f aca="false">IF(A84,IF(Schedule!I84="","",IF(ISNUMBER(Schedule!I84),IF(Schedule!I84&lt;10,Settings!$B$6&amp;TEXT(Schedule!I84,"#"),Schedule!I84),Schedule!I84)),"")</f>
        <v/>
      </c>
      <c r="N84" s="1" t="str">
        <f aca="false">IF(A84,IF(Schedule!J84="","",Schedule!J84),"")</f>
        <v/>
      </c>
      <c r="O84" s="1" t="str">
        <f aca="false">IF(A84,IF(AND(Settings!$B$14="longtable",NOT(D84)),Settings!$B$15,Settings!$B$3),"")</f>
        <v/>
      </c>
      <c r="P84" s="1" t="str">
        <f aca="false">IF(D84,Settings!$B$4,"")</f>
        <v/>
      </c>
    </row>
    <row r="85" customFormat="false" ht="15" hidden="false" customHeight="false" outlineLevel="0" collapsed="false">
      <c r="A85" s="46" t="b">
        <f aca="false">AND(Dates!F85&lt;&gt;"",ROW()&lt;=Settings!$B$13)</f>
        <v>0</v>
      </c>
      <c r="B85" s="1" t="str">
        <f aca="false">IF(NOT(A85),"",IF(Dates!D85&lt;&gt;"",Dates!D85,IF(ROW()=2,"",B84)))</f>
        <v/>
      </c>
      <c r="C85" s="46" t="b">
        <f aca="false">AND(A85,OR(ROW()=2,B85&lt;&gt;B84))</f>
        <v>0</v>
      </c>
      <c r="D85" s="46" t="b">
        <f aca="false">AND(A85,OR(NOT(A86),B86&lt;&gt;B85))</f>
        <v>0</v>
      </c>
      <c r="E85" s="1" t="n">
        <f aca="false">IF(A85,COUNTIF($B$2:$B$261,B85),0)</f>
        <v>0</v>
      </c>
      <c r="F85" s="1" t="str">
        <f aca="false">IF(A85,Dates!J85,"")</f>
        <v/>
      </c>
      <c r="G85" s="46" t="b">
        <f aca="false">AND(A85,OR(C85,F85&lt;&gt;F84))</f>
        <v>0</v>
      </c>
      <c r="H85" s="1" t="n">
        <f aca="false">IF(A85,COUNTIFS($B$2:$B$261,B85,$F$2:$F$261,F85),0)</f>
        <v>0</v>
      </c>
      <c r="I85" s="1" t="str">
        <f aca="false">IF(C85,"\multirow{"&amp;E85&amp;"}{*}{"&amp;B85&amp;"}","")</f>
        <v/>
      </c>
      <c r="J85" s="1" t="str">
        <f aca="false">IF(G85,IF(H85=1,F85,"\multirow{"&amp;H85&amp;"}{*}{"&amp;F85&amp;"}"),"")</f>
        <v/>
      </c>
      <c r="K85" s="1" t="str">
        <f aca="false">IF(A85,TEXT(Dates!K85,"00"),"")</f>
        <v/>
      </c>
      <c r="L85" s="1" t="str">
        <f aca="false">IF(A85,Dates!H85&amp;IF(C85,Settings!$B$2,""),"")</f>
        <v/>
      </c>
      <c r="M85" s="1" t="str">
        <f aca="false">IF(A85,IF(Schedule!I85="","",IF(ISNUMBER(Schedule!I85),IF(Schedule!I85&lt;10,Settings!$B$6&amp;TEXT(Schedule!I85,"#"),Schedule!I85),Schedule!I85)),"")</f>
        <v/>
      </c>
      <c r="N85" s="1" t="str">
        <f aca="false">IF(A85,IF(Schedule!J85="","",Schedule!J85),"")</f>
        <v/>
      </c>
      <c r="O85" s="1" t="str">
        <f aca="false">IF(A85,IF(AND(Settings!$B$14="longtable",NOT(D85)),Settings!$B$15,Settings!$B$3),"")</f>
        <v/>
      </c>
      <c r="P85" s="1" t="str">
        <f aca="false">IF(D85,Settings!$B$4,"")</f>
        <v/>
      </c>
    </row>
    <row r="86" customFormat="false" ht="15" hidden="false" customHeight="false" outlineLevel="0" collapsed="false">
      <c r="A86" s="46" t="b">
        <f aca="false">AND(Dates!F86&lt;&gt;"",ROW()&lt;=Settings!$B$13)</f>
        <v>0</v>
      </c>
      <c r="B86" s="1" t="str">
        <f aca="false">IF(NOT(A86),"",IF(Dates!D86&lt;&gt;"",Dates!D86,IF(ROW()=2,"",B85)))</f>
        <v/>
      </c>
      <c r="C86" s="46" t="b">
        <f aca="false">AND(A86,OR(ROW()=2,B86&lt;&gt;B85))</f>
        <v>0</v>
      </c>
      <c r="D86" s="46" t="b">
        <f aca="false">AND(A86,OR(NOT(A87),B87&lt;&gt;B86))</f>
        <v>0</v>
      </c>
      <c r="E86" s="1" t="n">
        <f aca="false">IF(A86,COUNTIF($B$2:$B$261,B86),0)</f>
        <v>0</v>
      </c>
      <c r="F86" s="1" t="str">
        <f aca="false">IF(A86,Dates!J86,"")</f>
        <v/>
      </c>
      <c r="G86" s="46" t="b">
        <f aca="false">AND(A86,OR(C86,F86&lt;&gt;F85))</f>
        <v>0</v>
      </c>
      <c r="H86" s="1" t="n">
        <f aca="false">IF(A86,COUNTIFS($B$2:$B$261,B86,$F$2:$F$261,F86),0)</f>
        <v>0</v>
      </c>
      <c r="I86" s="1" t="str">
        <f aca="false">IF(C86,"\multirow{"&amp;E86&amp;"}{*}{"&amp;B86&amp;"}","")</f>
        <v/>
      </c>
      <c r="J86" s="1" t="str">
        <f aca="false">IF(G86,IF(H86=1,F86,"\multirow{"&amp;H86&amp;"}{*}{"&amp;F86&amp;"}"),"")</f>
        <v/>
      </c>
      <c r="K86" s="1" t="str">
        <f aca="false">IF(A86,TEXT(Dates!K86,"00"),"")</f>
        <v/>
      </c>
      <c r="L86" s="1" t="str">
        <f aca="false">IF(A86,Dates!H86&amp;IF(C86,Settings!$B$2,""),"")</f>
        <v/>
      </c>
      <c r="M86" s="49" t="str">
        <f aca="false">IF(A86,IF(Schedule!I86="","",IF(ISNUMBER(Schedule!I86),IF(Schedule!I86&lt;10,Settings!$B$6&amp;TEXT(Schedule!I86,"#"),Schedule!I86),Schedule!I86)),"")</f>
        <v/>
      </c>
      <c r="N86" s="1" t="str">
        <f aca="false">IF(A86,IF(Schedule!J86="","",Schedule!J86),"")</f>
        <v/>
      </c>
      <c r="O86" s="1" t="str">
        <f aca="false">IF(A86,IF(AND(Settings!$B$14="longtable",NOT(D86)),Settings!$B$15,Settings!$B$3),"")</f>
        <v/>
      </c>
      <c r="P86" s="1" t="str">
        <f aca="false">IF(D86,Settings!$B$4,"")</f>
        <v/>
      </c>
    </row>
    <row r="87" customFormat="false" ht="15" hidden="false" customHeight="false" outlineLevel="0" collapsed="false">
      <c r="A87" s="46" t="b">
        <f aca="false">AND(Dates!F87&lt;&gt;"",ROW()&lt;=Settings!$B$13)</f>
        <v>0</v>
      </c>
      <c r="B87" s="1" t="str">
        <f aca="false">IF(NOT(A87),"",IF(Dates!D87&lt;&gt;"",Dates!D87,IF(ROW()=2,"",B86)))</f>
        <v/>
      </c>
      <c r="C87" s="46" t="b">
        <f aca="false">AND(A87,OR(ROW()=2,B87&lt;&gt;B86))</f>
        <v>0</v>
      </c>
      <c r="D87" s="46" t="b">
        <f aca="false">AND(A87,OR(NOT(A88),B88&lt;&gt;B87))</f>
        <v>0</v>
      </c>
      <c r="E87" s="1" t="n">
        <f aca="false">IF(A87,COUNTIF($B$2:$B$261,B87),0)</f>
        <v>0</v>
      </c>
      <c r="F87" s="1" t="str">
        <f aca="false">IF(A87,Dates!J87,"")</f>
        <v/>
      </c>
      <c r="G87" s="46" t="b">
        <f aca="false">AND(A87,OR(C87,F87&lt;&gt;F86))</f>
        <v>0</v>
      </c>
      <c r="H87" s="1" t="n">
        <f aca="false">IF(A87,COUNTIFS($B$2:$B$261,B87,$F$2:$F$261,F87),0)</f>
        <v>0</v>
      </c>
      <c r="I87" s="1" t="str">
        <f aca="false">IF(C87,"\multirow{"&amp;E87&amp;"}{*}{"&amp;B87&amp;"}","")</f>
        <v/>
      </c>
      <c r="J87" s="1" t="str">
        <f aca="false">IF(G87,IF(H87=1,F87,"\multirow{"&amp;H87&amp;"}{*}{"&amp;F87&amp;"}"),"")</f>
        <v/>
      </c>
      <c r="K87" s="1" t="str">
        <f aca="false">IF(A87,TEXT(Dates!K87,"00"),"")</f>
        <v/>
      </c>
      <c r="L87" s="1" t="str">
        <f aca="false">IF(A87,Dates!H87&amp;IF(C87,Settings!$B$2,""),"")</f>
        <v/>
      </c>
      <c r="M87" s="49" t="str">
        <f aca="false">IF(A87,IF(Schedule!I87="","",IF(ISNUMBER(Schedule!I87),IF(Schedule!I87&lt;10,Settings!$B$6&amp;TEXT(Schedule!I87,"#"),Schedule!I87),Schedule!I87)),"")</f>
        <v/>
      </c>
      <c r="N87" s="1" t="str">
        <f aca="false">IF(A87,IF(Schedule!J87="","",Schedule!J87),"")</f>
        <v/>
      </c>
      <c r="O87" s="1" t="str">
        <f aca="false">IF(A87,IF(AND(Settings!$B$14="longtable",NOT(D87)),Settings!$B$15,Settings!$B$3),"")</f>
        <v/>
      </c>
      <c r="P87" s="1" t="str">
        <f aca="false">IF(D87,Settings!$B$4,"")</f>
        <v/>
      </c>
    </row>
    <row r="88" customFormat="false" ht="15" hidden="false" customHeight="false" outlineLevel="0" collapsed="false">
      <c r="A88" s="46" t="b">
        <f aca="false">AND(Dates!F88&lt;&gt;"",ROW()&lt;=Settings!$B$13)</f>
        <v>0</v>
      </c>
      <c r="B88" s="1" t="str">
        <f aca="false">IF(NOT(A88),"",IF(Dates!D88&lt;&gt;"",Dates!D88,IF(ROW()=2,"",B87)))</f>
        <v/>
      </c>
      <c r="C88" s="46" t="b">
        <f aca="false">AND(A88,OR(ROW()=2,B88&lt;&gt;B87))</f>
        <v>0</v>
      </c>
      <c r="D88" s="46" t="b">
        <f aca="false">AND(A88,OR(NOT(A89),B89&lt;&gt;B88))</f>
        <v>0</v>
      </c>
      <c r="E88" s="1" t="n">
        <f aca="false">IF(A88,COUNTIF($B$2:$B$261,B88),0)</f>
        <v>0</v>
      </c>
      <c r="F88" s="1" t="str">
        <f aca="false">IF(A88,Dates!J88,"")</f>
        <v/>
      </c>
      <c r="G88" s="46" t="b">
        <f aca="false">AND(A88,OR(C88,F88&lt;&gt;F87))</f>
        <v>0</v>
      </c>
      <c r="H88" s="1" t="n">
        <f aca="false">IF(A88,COUNTIFS($B$2:$B$261,B88,$F$2:$F$261,F88),0)</f>
        <v>0</v>
      </c>
      <c r="I88" s="1" t="str">
        <f aca="false">IF(C88,"\multirow{"&amp;E88&amp;"}{*}{"&amp;B88&amp;"}","")</f>
        <v/>
      </c>
      <c r="J88" s="1" t="str">
        <f aca="false">IF(G88,IF(H88=1,F88,"\multirow{"&amp;H88&amp;"}{*}{"&amp;F88&amp;"}"),"")</f>
        <v/>
      </c>
      <c r="K88" s="1" t="str">
        <f aca="false">IF(A88,TEXT(Dates!K88,"00"),"")</f>
        <v/>
      </c>
      <c r="L88" s="1" t="str">
        <f aca="false">IF(A88,Dates!H88&amp;IF(C88,Settings!$B$2,""),"")</f>
        <v/>
      </c>
      <c r="M88" s="49" t="str">
        <f aca="false">IF(A88,IF(Schedule!I88="","",IF(ISNUMBER(Schedule!I88),IF(Schedule!I88&lt;10,Settings!$B$6&amp;TEXT(Schedule!I88,"#"),Schedule!I88),Schedule!I88)),"")</f>
        <v/>
      </c>
      <c r="N88" s="1" t="str">
        <f aca="false">IF(A88,IF(Schedule!J88="","",Schedule!J88),"")</f>
        <v/>
      </c>
      <c r="O88" s="1" t="str">
        <f aca="false">IF(A88,IF(AND(Settings!$B$14="longtable",NOT(D88)),Settings!$B$15,Settings!$B$3),"")</f>
        <v/>
      </c>
      <c r="P88" s="1" t="str">
        <f aca="false">IF(D88,Settings!$B$4,"")</f>
        <v/>
      </c>
    </row>
    <row r="89" customFormat="false" ht="15" hidden="false" customHeight="false" outlineLevel="0" collapsed="false">
      <c r="A89" s="46" t="b">
        <f aca="false">AND(Dates!F89&lt;&gt;"",ROW()&lt;=Settings!$B$13)</f>
        <v>0</v>
      </c>
      <c r="B89" s="1" t="str">
        <f aca="false">IF(NOT(A89),"",IF(Dates!D89&lt;&gt;"",Dates!D89,IF(ROW()=2,"",B88)))</f>
        <v/>
      </c>
      <c r="C89" s="46" t="b">
        <f aca="false">AND(A89,OR(ROW()=2,B89&lt;&gt;B88))</f>
        <v>0</v>
      </c>
      <c r="D89" s="46" t="b">
        <f aca="false">AND(A89,OR(NOT(A90),B90&lt;&gt;B89))</f>
        <v>0</v>
      </c>
      <c r="E89" s="1" t="n">
        <f aca="false">IF(A89,COUNTIF($B$2:$B$261,B89),0)</f>
        <v>0</v>
      </c>
      <c r="F89" s="1" t="str">
        <f aca="false">IF(A89,Dates!J89,"")</f>
        <v/>
      </c>
      <c r="G89" s="46" t="b">
        <f aca="false">AND(A89,OR(C89,F89&lt;&gt;F88))</f>
        <v>0</v>
      </c>
      <c r="H89" s="1" t="n">
        <f aca="false">IF(A89,COUNTIFS($B$2:$B$261,B89,$F$2:$F$261,F89),0)</f>
        <v>0</v>
      </c>
      <c r="I89" s="1" t="str">
        <f aca="false">IF(C89,"\multirow{"&amp;E89&amp;"}{*}{"&amp;B89&amp;"}","")</f>
        <v/>
      </c>
      <c r="J89" s="1" t="str">
        <f aca="false">IF(G89,IF(H89=1,F89,"\multirow{"&amp;H89&amp;"}{*}{"&amp;F89&amp;"}"),"")</f>
        <v/>
      </c>
      <c r="K89" s="1" t="str">
        <f aca="false">IF(A89,TEXT(Dates!K89,"00"),"")</f>
        <v/>
      </c>
      <c r="L89" s="1" t="str">
        <f aca="false">IF(A89,Dates!H89&amp;IF(C89,Settings!$B$2,""),"")</f>
        <v/>
      </c>
      <c r="M89" s="49" t="str">
        <f aca="false">IF(A89,IF(Schedule!I89="","",IF(ISNUMBER(Schedule!I89),IF(Schedule!I89&lt;10,Settings!$B$6&amp;TEXT(Schedule!I89,"#"),Schedule!I89),Schedule!I89)),"")</f>
        <v/>
      </c>
      <c r="N89" s="1" t="str">
        <f aca="false">IF(A89,IF(Schedule!J89="","",Schedule!J89),"")</f>
        <v/>
      </c>
      <c r="O89" s="1" t="str">
        <f aca="false">IF(A89,IF(AND(Settings!$B$14="longtable",NOT(D89)),Settings!$B$15,Settings!$B$3),"")</f>
        <v/>
      </c>
      <c r="P89" s="1" t="str">
        <f aca="false">IF(D89,Settings!$B$4,"")</f>
        <v/>
      </c>
    </row>
    <row r="90" customFormat="false" ht="15" hidden="false" customHeight="false" outlineLevel="0" collapsed="false">
      <c r="A90" s="46" t="b">
        <f aca="false">AND(Dates!F90&lt;&gt;"",ROW()&lt;=Settings!$B$13)</f>
        <v>0</v>
      </c>
      <c r="B90" s="1" t="str">
        <f aca="false">IF(NOT(A90),"",IF(Dates!D90&lt;&gt;"",Dates!D90,IF(ROW()=2,"",B89)))</f>
        <v/>
      </c>
      <c r="C90" s="46" t="b">
        <f aca="false">AND(A90,OR(ROW()=2,B90&lt;&gt;B89))</f>
        <v>0</v>
      </c>
      <c r="D90" s="46" t="b">
        <f aca="false">AND(A90,OR(NOT(A91),B91&lt;&gt;B90))</f>
        <v>0</v>
      </c>
      <c r="E90" s="1" t="n">
        <f aca="false">IF(A90,COUNTIF($B$2:$B$261,B90),0)</f>
        <v>0</v>
      </c>
      <c r="F90" s="1" t="str">
        <f aca="false">IF(A90,Dates!J90,"")</f>
        <v/>
      </c>
      <c r="G90" s="46" t="b">
        <f aca="false">AND(A90,OR(C90,F90&lt;&gt;F89))</f>
        <v>0</v>
      </c>
      <c r="H90" s="1" t="n">
        <f aca="false">IF(A90,COUNTIFS($B$2:$B$261,B90,$F$2:$F$261,F90),0)</f>
        <v>0</v>
      </c>
      <c r="I90" s="1" t="str">
        <f aca="false">IF(C90,"\multirow{"&amp;E90&amp;"}{*}{"&amp;B90&amp;"}","")</f>
        <v/>
      </c>
      <c r="J90" s="1" t="str">
        <f aca="false">IF(G90,IF(H90=1,F90,"\multirow{"&amp;H90&amp;"}{*}{"&amp;F90&amp;"}"),"")</f>
        <v/>
      </c>
      <c r="K90" s="1" t="str">
        <f aca="false">IF(A90,TEXT(Dates!K90,"00"),"")</f>
        <v/>
      </c>
      <c r="L90" s="1" t="str">
        <f aca="false">IF(A90,Dates!H90&amp;IF(C90,Settings!$B$2,""),"")</f>
        <v/>
      </c>
      <c r="M90" s="49" t="str">
        <f aca="false">IF(A90,IF(Schedule!I90="","",IF(ISNUMBER(Schedule!I90),IF(Schedule!I90&lt;10,Settings!$B$6&amp;TEXT(Schedule!I90,"#"),Schedule!I90),Schedule!I90)),"")</f>
        <v/>
      </c>
      <c r="N90" s="1" t="str">
        <f aca="false">IF(A90,IF(Schedule!J90="","",Schedule!J90),"")</f>
        <v/>
      </c>
      <c r="O90" s="1" t="str">
        <f aca="false">IF(A90,IF(AND(Settings!$B$14="longtable",NOT(D90)),Settings!$B$15,Settings!$B$3),"")</f>
        <v/>
      </c>
      <c r="P90" s="1" t="str">
        <f aca="false">IF(D90,Settings!$B$4,"")</f>
        <v/>
      </c>
    </row>
    <row r="91" customFormat="false" ht="15" hidden="false" customHeight="false" outlineLevel="0" collapsed="false">
      <c r="A91" s="46" t="b">
        <f aca="false">AND(Dates!F91&lt;&gt;"",ROW()&lt;=Settings!$B$13)</f>
        <v>0</v>
      </c>
      <c r="B91" s="1" t="str">
        <f aca="false">IF(NOT(A91),"",IF(Dates!D91&lt;&gt;"",Dates!D91,IF(ROW()=2,"",B90)))</f>
        <v/>
      </c>
      <c r="C91" s="46" t="b">
        <f aca="false">AND(A91,OR(ROW()=2,B91&lt;&gt;B90))</f>
        <v>0</v>
      </c>
      <c r="D91" s="46" t="b">
        <f aca="false">AND(A91,OR(NOT(A92),B92&lt;&gt;B91))</f>
        <v>0</v>
      </c>
      <c r="E91" s="1" t="n">
        <f aca="false">IF(A91,COUNTIF($B$2:$B$261,B91),0)</f>
        <v>0</v>
      </c>
      <c r="F91" s="1" t="str">
        <f aca="false">IF(A91,Dates!J91,"")</f>
        <v/>
      </c>
      <c r="G91" s="46" t="b">
        <f aca="false">AND(A91,OR(C91,F91&lt;&gt;F90))</f>
        <v>0</v>
      </c>
      <c r="H91" s="1" t="n">
        <f aca="false">IF(A91,COUNTIFS($B$2:$B$261,B91,$F$2:$F$261,F91),0)</f>
        <v>0</v>
      </c>
      <c r="I91" s="1" t="str">
        <f aca="false">IF(C91,"\multirow{"&amp;E91&amp;"}{*}{"&amp;B91&amp;"}","")</f>
        <v/>
      </c>
      <c r="J91" s="1" t="str">
        <f aca="false">IF(G91,IF(H91=1,F91,"\multirow{"&amp;H91&amp;"}{*}{"&amp;F91&amp;"}"),"")</f>
        <v/>
      </c>
      <c r="K91" s="1" t="str">
        <f aca="false">IF(A91,TEXT(Dates!K91,"00"),"")</f>
        <v/>
      </c>
      <c r="L91" s="1" t="str">
        <f aca="false">IF(A91,Dates!H91&amp;IF(C91,Settings!$B$2,""),"")</f>
        <v/>
      </c>
      <c r="M91" s="49" t="str">
        <f aca="false">IF(A91,IF(Schedule!I91="","",IF(ISNUMBER(Schedule!I91),IF(Schedule!I91&lt;10,Settings!$B$6&amp;TEXT(Schedule!I91,"#"),Schedule!I91),Schedule!I91)),"")</f>
        <v/>
      </c>
      <c r="N91" s="1" t="str">
        <f aca="false">IF(A91,IF(Schedule!J91="","",Schedule!J91),"")</f>
        <v/>
      </c>
      <c r="O91" s="1" t="str">
        <f aca="false">IF(A91,IF(AND(Settings!$B$14="longtable",NOT(D91)),Settings!$B$15,Settings!$B$3),"")</f>
        <v/>
      </c>
      <c r="P91" s="1" t="str">
        <f aca="false">IF(D91,Settings!$B$4,"")</f>
        <v/>
      </c>
    </row>
    <row r="92" customFormat="false" ht="15" hidden="false" customHeight="false" outlineLevel="0" collapsed="false">
      <c r="A92" s="46" t="b">
        <f aca="false">AND(Dates!F92&lt;&gt;"",ROW()&lt;=Settings!$B$13)</f>
        <v>0</v>
      </c>
      <c r="B92" s="1" t="str">
        <f aca="false">IF(NOT(A92),"",IF(Dates!D92&lt;&gt;"",Dates!D92,IF(ROW()=2,"",B91)))</f>
        <v/>
      </c>
      <c r="C92" s="46" t="b">
        <f aca="false">AND(A92,OR(ROW()=2,B92&lt;&gt;B91))</f>
        <v>0</v>
      </c>
      <c r="D92" s="46" t="b">
        <f aca="false">AND(A92,OR(NOT(A93),B93&lt;&gt;B92))</f>
        <v>0</v>
      </c>
      <c r="E92" s="1" t="n">
        <f aca="false">IF(A92,COUNTIF($B$2:$B$261,B92),0)</f>
        <v>0</v>
      </c>
      <c r="F92" s="1" t="str">
        <f aca="false">IF(A92,Dates!J92,"")</f>
        <v/>
      </c>
      <c r="G92" s="46" t="b">
        <f aca="false">AND(A92,OR(C92,F92&lt;&gt;F91))</f>
        <v>0</v>
      </c>
      <c r="H92" s="1" t="n">
        <f aca="false">IF(A92,COUNTIFS($B$2:$B$261,B92,$F$2:$F$261,F92),0)</f>
        <v>0</v>
      </c>
      <c r="I92" s="1" t="str">
        <f aca="false">IF(C92,"\multirow{"&amp;E92&amp;"}{*}{"&amp;B92&amp;"}","")</f>
        <v/>
      </c>
      <c r="J92" s="1" t="str">
        <f aca="false">IF(G92,IF(H92=1,F92,"\multirow{"&amp;H92&amp;"}{*}{"&amp;F92&amp;"}"),"")</f>
        <v/>
      </c>
      <c r="K92" s="1" t="str">
        <f aca="false">IF(A92,TEXT(Dates!K92,"00"),"")</f>
        <v/>
      </c>
      <c r="L92" s="1" t="str">
        <f aca="false">IF(A92,Dates!H92&amp;IF(C92,Settings!$B$2,""),"")</f>
        <v/>
      </c>
      <c r="M92" s="49" t="str">
        <f aca="false">IF(A92,IF(Schedule!I92="","",IF(ISNUMBER(Schedule!I92),IF(Schedule!I92&lt;10,Settings!$B$6&amp;TEXT(Schedule!I92,"#"),Schedule!I92),Schedule!I92)),"")</f>
        <v/>
      </c>
      <c r="N92" s="1" t="str">
        <f aca="false">IF(A92,IF(Schedule!J92="","",Schedule!J92),"")</f>
        <v/>
      </c>
      <c r="O92" s="1" t="str">
        <f aca="false">IF(A92,IF(AND(Settings!$B$14="longtable",NOT(D92)),Settings!$B$15,Settings!$B$3),"")</f>
        <v/>
      </c>
      <c r="P92" s="1" t="str">
        <f aca="false">IF(D92,Settings!$B$4,"")</f>
        <v/>
      </c>
    </row>
    <row r="93" customFormat="false" ht="15" hidden="false" customHeight="false" outlineLevel="0" collapsed="false">
      <c r="A93" s="46" t="b">
        <f aca="false">AND(Dates!F93&lt;&gt;"",ROW()&lt;=Settings!$B$13)</f>
        <v>0</v>
      </c>
      <c r="B93" s="1" t="str">
        <f aca="false">IF(NOT(A93),"",IF(Dates!D93&lt;&gt;"",Dates!D93,IF(ROW()=2,"",B92)))</f>
        <v/>
      </c>
      <c r="C93" s="46" t="b">
        <f aca="false">AND(A93,OR(ROW()=2,B93&lt;&gt;B92))</f>
        <v>0</v>
      </c>
      <c r="D93" s="46" t="b">
        <f aca="false">AND(A93,OR(NOT(A94),B94&lt;&gt;B93))</f>
        <v>0</v>
      </c>
      <c r="E93" s="1" t="n">
        <f aca="false">IF(A93,COUNTIF($B$2:$B$261,B93),0)</f>
        <v>0</v>
      </c>
      <c r="F93" s="1" t="str">
        <f aca="false">IF(A93,Dates!J93,"")</f>
        <v/>
      </c>
      <c r="G93" s="46" t="b">
        <f aca="false">AND(A93,OR(C93,F93&lt;&gt;F92))</f>
        <v>0</v>
      </c>
      <c r="H93" s="1" t="n">
        <f aca="false">IF(A93,COUNTIFS($B$2:$B$261,B93,$F$2:$F$261,F93),0)</f>
        <v>0</v>
      </c>
      <c r="I93" s="1" t="str">
        <f aca="false">IF(C93,"\multirow{"&amp;E93&amp;"}{*}{"&amp;B93&amp;"}","")</f>
        <v/>
      </c>
      <c r="J93" s="1" t="str">
        <f aca="false">IF(G93,IF(H93=1,F93,"\multirow{"&amp;H93&amp;"}{*}{"&amp;F93&amp;"}"),"")</f>
        <v/>
      </c>
      <c r="K93" s="1" t="str">
        <f aca="false">IF(A93,TEXT(Dates!K93,"00"),"")</f>
        <v/>
      </c>
      <c r="L93" s="1" t="str">
        <f aca="false">IF(A93,Dates!H93&amp;IF(C93,Settings!$B$2,""),"")</f>
        <v/>
      </c>
      <c r="M93" s="49" t="str">
        <f aca="false">IF(A93,IF(Schedule!I93="","",IF(ISNUMBER(Schedule!I93),IF(Schedule!I93&lt;10,Settings!$B$6&amp;TEXT(Schedule!I93,"#"),Schedule!I93),Schedule!I93)),"")</f>
        <v/>
      </c>
      <c r="N93" s="1" t="str">
        <f aca="false">IF(A93,IF(Schedule!J93="","",Schedule!J93),"")</f>
        <v/>
      </c>
      <c r="O93" s="1" t="str">
        <f aca="false">IF(A93,IF(AND(Settings!$B$14="longtable",NOT(D93)),Settings!$B$15,Settings!$B$3),"")</f>
        <v/>
      </c>
      <c r="P93" s="1" t="str">
        <f aca="false">IF(D93,Settings!$B$4,"")</f>
        <v/>
      </c>
    </row>
    <row r="94" customFormat="false" ht="15" hidden="false" customHeight="false" outlineLevel="0" collapsed="false">
      <c r="A94" s="46" t="b">
        <f aca="false">AND(Dates!F94&lt;&gt;"",ROW()&lt;=Settings!$B$13)</f>
        <v>0</v>
      </c>
      <c r="B94" s="1" t="str">
        <f aca="false">IF(NOT(A94),"",IF(Dates!D94&lt;&gt;"",Dates!D94,IF(ROW()=2,"",B93)))</f>
        <v/>
      </c>
      <c r="C94" s="46" t="b">
        <f aca="false">AND(A94,OR(ROW()=2,B94&lt;&gt;B93))</f>
        <v>0</v>
      </c>
      <c r="D94" s="46" t="b">
        <f aca="false">AND(A94,OR(NOT(A95),B95&lt;&gt;B94))</f>
        <v>0</v>
      </c>
      <c r="E94" s="1" t="n">
        <f aca="false">IF(A94,COUNTIF($B$2:$B$261,B94),0)</f>
        <v>0</v>
      </c>
      <c r="F94" s="1" t="str">
        <f aca="false">IF(A94,Dates!J94,"")</f>
        <v/>
      </c>
      <c r="G94" s="46" t="b">
        <f aca="false">AND(A94,OR(C94,F94&lt;&gt;F93))</f>
        <v>0</v>
      </c>
      <c r="H94" s="1" t="n">
        <f aca="false">IF(A94,COUNTIFS($B$2:$B$261,B94,$F$2:$F$261,F94),0)</f>
        <v>0</v>
      </c>
      <c r="I94" s="1" t="str">
        <f aca="false">IF(C94,"\multirow{"&amp;E94&amp;"}{*}{"&amp;B94&amp;"}","")</f>
        <v/>
      </c>
      <c r="J94" s="1" t="str">
        <f aca="false">IF(G94,IF(H94=1,F94,"\multirow{"&amp;H94&amp;"}{*}{"&amp;F94&amp;"}"),"")</f>
        <v/>
      </c>
      <c r="K94" s="1" t="str">
        <f aca="false">IF(A94,TEXT(Dates!K94,"00"),"")</f>
        <v/>
      </c>
      <c r="L94" s="1" t="str">
        <f aca="false">IF(A94,Dates!H94&amp;IF(C94,Settings!$B$2,""),"")</f>
        <v/>
      </c>
      <c r="M94" s="49" t="str">
        <f aca="false">IF(A94,IF(Schedule!I94="","",IF(ISNUMBER(Schedule!I94),IF(Schedule!I94&lt;10,Settings!$B$6&amp;TEXT(Schedule!I94,"#"),Schedule!I94),Schedule!I94)),"")</f>
        <v/>
      </c>
      <c r="N94" s="1" t="str">
        <f aca="false">IF(A94,IF(Schedule!J94="","",Schedule!J94),"")</f>
        <v/>
      </c>
      <c r="O94" s="1" t="str">
        <f aca="false">IF(A94,IF(AND(Settings!$B$14="longtable",NOT(D94)),Settings!$B$15,Settings!$B$3),"")</f>
        <v/>
      </c>
      <c r="P94" s="1" t="str">
        <f aca="false">IF(D94,Settings!$B$4,"")</f>
        <v/>
      </c>
    </row>
    <row r="95" customFormat="false" ht="15" hidden="false" customHeight="false" outlineLevel="0" collapsed="false">
      <c r="A95" s="46" t="b">
        <f aca="false">AND(Dates!F95&lt;&gt;"",ROW()&lt;=Settings!$B$13)</f>
        <v>0</v>
      </c>
      <c r="B95" s="1" t="str">
        <f aca="false">IF(NOT(A95),"",IF(Dates!D95&lt;&gt;"",Dates!D95,IF(ROW()=2,"",B94)))</f>
        <v/>
      </c>
      <c r="C95" s="46" t="b">
        <f aca="false">AND(A95,OR(ROW()=2,B95&lt;&gt;B94))</f>
        <v>0</v>
      </c>
      <c r="D95" s="46" t="b">
        <f aca="false">AND(A95,OR(NOT(A96),B96&lt;&gt;B95))</f>
        <v>0</v>
      </c>
      <c r="E95" s="1" t="n">
        <f aca="false">IF(A95,COUNTIF($B$2:$B$261,B95),0)</f>
        <v>0</v>
      </c>
      <c r="F95" s="1" t="str">
        <f aca="false">IF(A95,Dates!J95,"")</f>
        <v/>
      </c>
      <c r="G95" s="46" t="b">
        <f aca="false">AND(A95,OR(C95,F95&lt;&gt;F94))</f>
        <v>0</v>
      </c>
      <c r="H95" s="1" t="n">
        <f aca="false">IF(A95,COUNTIFS($B$2:$B$261,B95,$F$2:$F$261,F95),0)</f>
        <v>0</v>
      </c>
      <c r="I95" s="1" t="str">
        <f aca="false">IF(C95,"\multirow{"&amp;E95&amp;"}{*}{"&amp;B95&amp;"}","")</f>
        <v/>
      </c>
      <c r="J95" s="1" t="str">
        <f aca="false">IF(G95,IF(H95=1,F95,"\multirow{"&amp;H95&amp;"}{*}{"&amp;F95&amp;"}"),"")</f>
        <v/>
      </c>
      <c r="K95" s="1" t="str">
        <f aca="false">IF(A95,TEXT(Dates!K95,"00"),"")</f>
        <v/>
      </c>
      <c r="L95" s="1" t="str">
        <f aca="false">IF(A95,Dates!H95&amp;IF(C95,Settings!$B$2,""),"")</f>
        <v/>
      </c>
      <c r="M95" s="49" t="str">
        <f aca="false">IF(A95,IF(Schedule!I95="","",IF(ISNUMBER(Schedule!I95),IF(Schedule!I95&lt;10,Settings!$B$6&amp;TEXT(Schedule!I95,"#"),Schedule!I95),Schedule!I95)),"")</f>
        <v/>
      </c>
      <c r="N95" s="1" t="str">
        <f aca="false">IF(A95,IF(Schedule!J95="","",Schedule!J95),"")</f>
        <v/>
      </c>
      <c r="O95" s="1" t="str">
        <f aca="false">IF(A95,IF(AND(Settings!$B$14="longtable",NOT(D95)),Settings!$B$15,Settings!$B$3),"")</f>
        <v/>
      </c>
      <c r="P95" s="1" t="str">
        <f aca="false">IF(D95,Settings!$B$4,"")</f>
        <v/>
      </c>
    </row>
    <row r="96" customFormat="false" ht="15" hidden="false" customHeight="false" outlineLevel="0" collapsed="false">
      <c r="A96" s="46" t="b">
        <f aca="false">AND(Dates!F96&lt;&gt;"",ROW()&lt;=Settings!$B$13)</f>
        <v>0</v>
      </c>
      <c r="B96" s="1" t="str">
        <f aca="false">IF(NOT(A96),"",IF(Dates!D96&lt;&gt;"",Dates!D96,IF(ROW()=2,"",B95)))</f>
        <v/>
      </c>
      <c r="C96" s="46" t="b">
        <f aca="false">AND(A96,OR(ROW()=2,B96&lt;&gt;B95))</f>
        <v>0</v>
      </c>
      <c r="D96" s="46" t="b">
        <f aca="false">AND(A96,OR(NOT(A97),B97&lt;&gt;B96))</f>
        <v>0</v>
      </c>
      <c r="E96" s="1" t="n">
        <f aca="false">IF(A96,COUNTIF($B$2:$B$261,B96),0)</f>
        <v>0</v>
      </c>
      <c r="F96" s="1" t="str">
        <f aca="false">IF(A96,Dates!J96,"")</f>
        <v/>
      </c>
      <c r="G96" s="46" t="b">
        <f aca="false">AND(A96,OR(C96,F96&lt;&gt;F95))</f>
        <v>0</v>
      </c>
      <c r="H96" s="1" t="n">
        <f aca="false">IF(A96,COUNTIFS($B$2:$B$261,B96,$F$2:$F$261,F96),0)</f>
        <v>0</v>
      </c>
      <c r="I96" s="1" t="str">
        <f aca="false">IF(C96,"\multirow{"&amp;E96&amp;"}{*}{"&amp;B96&amp;"}","")</f>
        <v/>
      </c>
      <c r="J96" s="1" t="str">
        <f aca="false">IF(G96,IF(H96=1,F96,"\multirow{"&amp;H96&amp;"}{*}{"&amp;F96&amp;"}"),"")</f>
        <v/>
      </c>
      <c r="K96" s="1" t="str">
        <f aca="false">IF(A96,TEXT(Dates!K96,"00"),"")</f>
        <v/>
      </c>
      <c r="L96" s="1" t="str">
        <f aca="false">IF(A96,Dates!H96&amp;IF(C96,Settings!$B$2,""),"")</f>
        <v/>
      </c>
      <c r="M96" s="1" t="str">
        <f aca="false">IF(A96,IF(Schedule!I96="","",IF(ISNUMBER(Schedule!I96),IF(Schedule!I96&lt;10,Settings!$B$6&amp;TEXT(Schedule!I96,"#"),Schedule!I96),Schedule!I96)),"")</f>
        <v/>
      </c>
      <c r="N96" s="1" t="str">
        <f aca="false">IF(A96,IF(Schedule!J96="","",Schedule!J96),"")</f>
        <v/>
      </c>
      <c r="O96" s="1" t="str">
        <f aca="false">IF(A96,IF(AND(Settings!$B$14="longtable",NOT(D96)),Settings!$B$15,Settings!$B$3),"")</f>
        <v/>
      </c>
      <c r="P96" s="1" t="str">
        <f aca="false">IF(D96,Settings!$B$4,"")</f>
        <v/>
      </c>
    </row>
    <row r="97" customFormat="false" ht="15" hidden="false" customHeight="false" outlineLevel="0" collapsed="false">
      <c r="A97" s="46" t="b">
        <f aca="false">AND(Dates!F97&lt;&gt;"",ROW()&lt;=Settings!$B$13)</f>
        <v>0</v>
      </c>
      <c r="B97" s="1" t="str">
        <f aca="false">IF(NOT(A97),"",IF(Dates!D97&lt;&gt;"",Dates!D97,IF(ROW()=2,"",B96)))</f>
        <v/>
      </c>
      <c r="C97" s="46" t="b">
        <f aca="false">AND(A97,OR(ROW()=2,B97&lt;&gt;B96))</f>
        <v>0</v>
      </c>
      <c r="D97" s="46" t="b">
        <f aca="false">AND(A97,OR(NOT(A98),B98&lt;&gt;B97))</f>
        <v>0</v>
      </c>
      <c r="E97" s="1" t="n">
        <f aca="false">IF(A97,COUNTIF($B$2:$B$261,B97),0)</f>
        <v>0</v>
      </c>
      <c r="F97" s="1" t="str">
        <f aca="false">IF(A97,Dates!J97,"")</f>
        <v/>
      </c>
      <c r="G97" s="46" t="b">
        <f aca="false">AND(A97,OR(C97,F97&lt;&gt;F96))</f>
        <v>0</v>
      </c>
      <c r="H97" s="1" t="n">
        <f aca="false">IF(A97,COUNTIFS($B$2:$B$261,B97,$F$2:$F$261,F97),0)</f>
        <v>0</v>
      </c>
      <c r="I97" s="1" t="str">
        <f aca="false">IF(C97,"\multirow{"&amp;E97&amp;"}{*}{"&amp;B97&amp;"}","")</f>
        <v/>
      </c>
      <c r="J97" s="1" t="str">
        <f aca="false">IF(G97,IF(H97=1,F97,"\multirow{"&amp;H97&amp;"}{*}{"&amp;F97&amp;"}"),"")</f>
        <v/>
      </c>
      <c r="K97" s="1" t="str">
        <f aca="false">IF(A97,TEXT(Dates!K97,"00"),"")</f>
        <v/>
      </c>
      <c r="L97" s="1" t="str">
        <f aca="false">IF(A97,Dates!H97&amp;IF(C97,Settings!$B$2,""),"")</f>
        <v/>
      </c>
      <c r="M97" s="1" t="str">
        <f aca="false">IF(A97,IF(Schedule!I97="","",IF(ISNUMBER(Schedule!I97),IF(Schedule!I97&lt;10,Settings!$B$6&amp;TEXT(Schedule!I97,"#"),Schedule!I97),Schedule!I97)),"")</f>
        <v/>
      </c>
      <c r="N97" s="1" t="str">
        <f aca="false">IF(A97,IF(Schedule!J97="","",Schedule!J97),"")</f>
        <v/>
      </c>
      <c r="O97" s="1" t="str">
        <f aca="false">IF(A97,IF(AND(Settings!$B$14="longtable",NOT(D97)),Settings!$B$15,Settings!$B$3),"")</f>
        <v/>
      </c>
      <c r="P97" s="1" t="str">
        <f aca="false">IF(D97,Settings!$B$4,"")</f>
        <v/>
      </c>
    </row>
    <row r="98" customFormat="false" ht="15" hidden="false" customHeight="false" outlineLevel="0" collapsed="false">
      <c r="A98" s="46" t="b">
        <f aca="false">AND(Dates!F98&lt;&gt;"",ROW()&lt;=Settings!$B$13)</f>
        <v>0</v>
      </c>
      <c r="B98" s="1" t="str">
        <f aca="false">IF(NOT(A98),"",IF(Dates!D98&lt;&gt;"",Dates!D98,IF(ROW()=2,"",B97)))</f>
        <v/>
      </c>
      <c r="C98" s="46" t="b">
        <f aca="false">AND(A98,OR(ROW()=2,B98&lt;&gt;B97))</f>
        <v>0</v>
      </c>
      <c r="D98" s="46" t="b">
        <f aca="false">AND(A98,OR(NOT(A99),B99&lt;&gt;B98))</f>
        <v>0</v>
      </c>
      <c r="E98" s="1" t="n">
        <f aca="false">IF(A98,COUNTIF($B$2:$B$261,B98),0)</f>
        <v>0</v>
      </c>
      <c r="F98" s="1" t="str">
        <f aca="false">IF(A98,Dates!J98,"")</f>
        <v/>
      </c>
      <c r="G98" s="46" t="b">
        <f aca="false">AND(A98,OR(C98,F98&lt;&gt;F97))</f>
        <v>0</v>
      </c>
      <c r="H98" s="1" t="n">
        <f aca="false">IF(A98,COUNTIFS($B$2:$B$261,B98,$F$2:$F$261,F98),0)</f>
        <v>0</v>
      </c>
      <c r="I98" s="1" t="str">
        <f aca="false">IF(C98,"\multirow{"&amp;E98&amp;"}{*}{"&amp;B98&amp;"}","")</f>
        <v/>
      </c>
      <c r="J98" s="1" t="str">
        <f aca="false">IF(G98,IF(H98=1,F98,"\multirow{"&amp;H98&amp;"}{*}{"&amp;F98&amp;"}"),"")</f>
        <v/>
      </c>
      <c r="K98" s="1" t="str">
        <f aca="false">IF(A98,TEXT(Dates!K98,"00"),"")</f>
        <v/>
      </c>
      <c r="L98" s="1" t="str">
        <f aca="false">IF(A98,Dates!H98&amp;IF(C98,Settings!$B$2,""),"")</f>
        <v/>
      </c>
      <c r="M98" s="1" t="str">
        <f aca="false">IF(A98,IF(Schedule!I98="","",IF(ISNUMBER(Schedule!I98),IF(Schedule!I98&lt;10,Settings!$B$6&amp;TEXT(Schedule!I98,"#"),Schedule!I98),Schedule!I98)),"")</f>
        <v/>
      </c>
      <c r="N98" s="1" t="str">
        <f aca="false">IF(A98,IF(Schedule!J98="","",Schedule!J98),"")</f>
        <v/>
      </c>
      <c r="O98" s="1" t="str">
        <f aca="false">IF(A98,IF(AND(Settings!$B$14="longtable",NOT(D98)),Settings!$B$15,Settings!$B$3),"")</f>
        <v/>
      </c>
      <c r="P98" s="1" t="str">
        <f aca="false">IF(D98,Settings!$B$4,"")</f>
        <v/>
      </c>
    </row>
    <row r="99" customFormat="false" ht="15" hidden="false" customHeight="false" outlineLevel="0" collapsed="false">
      <c r="A99" s="46" t="b">
        <f aca="false">AND(Dates!F99&lt;&gt;"",ROW()&lt;=Settings!$B$13)</f>
        <v>0</v>
      </c>
      <c r="B99" s="1" t="str">
        <f aca="false">IF(NOT(A99),"",IF(Dates!D99&lt;&gt;"",Dates!D99,IF(ROW()=2,"",B98)))</f>
        <v/>
      </c>
      <c r="C99" s="46" t="b">
        <f aca="false">AND(A99,OR(ROW()=2,B99&lt;&gt;B98))</f>
        <v>0</v>
      </c>
      <c r="D99" s="46" t="b">
        <f aca="false">AND(A99,OR(NOT(A100),B100&lt;&gt;B99))</f>
        <v>0</v>
      </c>
      <c r="E99" s="1" t="n">
        <f aca="false">IF(A99,COUNTIF($B$2:$B$261,B99),0)</f>
        <v>0</v>
      </c>
      <c r="F99" s="1" t="str">
        <f aca="false">IF(A99,Dates!J99,"")</f>
        <v/>
      </c>
      <c r="G99" s="46" t="b">
        <f aca="false">AND(A99,OR(C99,F99&lt;&gt;F98))</f>
        <v>0</v>
      </c>
      <c r="H99" s="1" t="n">
        <f aca="false">IF(A99,COUNTIFS($B$2:$B$261,B99,$F$2:$F$261,F99),0)</f>
        <v>0</v>
      </c>
      <c r="I99" s="1" t="str">
        <f aca="false">IF(C99,"\multirow{"&amp;E99&amp;"}{*}{"&amp;B99&amp;"}","")</f>
        <v/>
      </c>
      <c r="J99" s="1" t="str">
        <f aca="false">IF(G99,IF(H99=1,F99,"\multirow{"&amp;H99&amp;"}{*}{"&amp;F99&amp;"}"),"")</f>
        <v/>
      </c>
      <c r="K99" s="1" t="str">
        <f aca="false">IF(A99,TEXT(Dates!K99,"00"),"")</f>
        <v/>
      </c>
      <c r="L99" s="1" t="str">
        <f aca="false">IF(A99,Dates!H99&amp;IF(C99,Settings!$B$2,""),"")</f>
        <v/>
      </c>
      <c r="M99" s="1" t="str">
        <f aca="false">IF(A99,IF(Schedule!I99="","",IF(ISNUMBER(Schedule!I99),IF(Schedule!I99&lt;10,Settings!$B$6&amp;TEXT(Schedule!I99,"#"),Schedule!I99),Schedule!I99)),"")</f>
        <v/>
      </c>
      <c r="N99" s="1" t="str">
        <f aca="false">IF(A99,IF(Schedule!J99="","",Schedule!J99),"")</f>
        <v/>
      </c>
      <c r="O99" s="1" t="str">
        <f aca="false">IF(A99,IF(AND(Settings!$B$14="longtable",NOT(D99)),Settings!$B$15,Settings!$B$3),"")</f>
        <v/>
      </c>
      <c r="P99" s="1" t="str">
        <f aca="false">IF(D99,Settings!$B$4,"")</f>
        <v/>
      </c>
    </row>
    <row r="100" customFormat="false" ht="15" hidden="false" customHeight="false" outlineLevel="0" collapsed="false">
      <c r="A100" s="46" t="b">
        <f aca="false">AND(Dates!F100&lt;&gt;"",ROW()&lt;=Settings!$B$13)</f>
        <v>0</v>
      </c>
      <c r="B100" s="1" t="str">
        <f aca="false">IF(NOT(A100),"",IF(Dates!D100&lt;&gt;"",Dates!D100,IF(ROW()=2,"",B99)))</f>
        <v/>
      </c>
      <c r="C100" s="46" t="b">
        <f aca="false">AND(A100,OR(ROW()=2,B100&lt;&gt;B99))</f>
        <v>0</v>
      </c>
      <c r="D100" s="46" t="b">
        <f aca="false">AND(A100,OR(NOT(A101),B101&lt;&gt;B100))</f>
        <v>0</v>
      </c>
      <c r="E100" s="1" t="n">
        <f aca="false">IF(A100,COUNTIF($B$2:$B$261,B100),0)</f>
        <v>0</v>
      </c>
      <c r="F100" s="1" t="str">
        <f aca="false">IF(A100,Dates!J100,"")</f>
        <v/>
      </c>
      <c r="G100" s="46" t="b">
        <f aca="false">AND(A100,OR(C100,F100&lt;&gt;F99))</f>
        <v>0</v>
      </c>
      <c r="H100" s="1" t="n">
        <f aca="false">IF(A100,COUNTIFS($B$2:$B$261,B100,$F$2:$F$261,F100),0)</f>
        <v>0</v>
      </c>
      <c r="I100" s="1" t="str">
        <f aca="false">IF(C100,"\multirow{"&amp;E100&amp;"}{*}{"&amp;B100&amp;"}","")</f>
        <v/>
      </c>
      <c r="J100" s="1" t="str">
        <f aca="false">IF(G100,IF(H100=1,F100,"\multirow{"&amp;H100&amp;"}{*}{"&amp;F100&amp;"}"),"")</f>
        <v/>
      </c>
      <c r="K100" s="1" t="str">
        <f aca="false">IF(A100,TEXT(Dates!K100,"00"),"")</f>
        <v/>
      </c>
      <c r="L100" s="1" t="str">
        <f aca="false">IF(A100,Dates!H100&amp;IF(C100,Settings!$B$2,""),"")</f>
        <v/>
      </c>
      <c r="M100" s="1" t="str">
        <f aca="false">IF(A100,IF(Schedule!I100="","",IF(ISNUMBER(Schedule!I100),IF(Schedule!I100&lt;10,Settings!$B$6&amp;TEXT(Schedule!I100,"#"),Schedule!I100),Schedule!I100)),"")</f>
        <v/>
      </c>
      <c r="N100" s="1" t="str">
        <f aca="false">IF(A100,IF(Schedule!J100="","",Schedule!J100),"")</f>
        <v/>
      </c>
      <c r="O100" s="1" t="str">
        <f aca="false">IF(A100,IF(AND(Settings!$B$14="longtable",NOT(D100)),Settings!$B$15,Settings!$B$3),"")</f>
        <v/>
      </c>
      <c r="P100" s="1" t="str">
        <f aca="false">IF(D100,Settings!$B$4,"")</f>
        <v/>
      </c>
    </row>
    <row r="101" customFormat="false" ht="15" hidden="false" customHeight="false" outlineLevel="0" collapsed="false">
      <c r="A101" s="46" t="b">
        <f aca="false">AND(Dates!F101&lt;&gt;"",ROW()&lt;=Settings!$B$13)</f>
        <v>0</v>
      </c>
      <c r="B101" s="1" t="str">
        <f aca="false">IF(NOT(A101),"",IF(Dates!D101&lt;&gt;"",Dates!D101,IF(ROW()=2,"",B100)))</f>
        <v/>
      </c>
      <c r="C101" s="46" t="b">
        <f aca="false">AND(A101,OR(ROW()=2,B101&lt;&gt;B100))</f>
        <v>0</v>
      </c>
      <c r="D101" s="46" t="b">
        <f aca="false">AND(A101,OR(NOT(A102),B102&lt;&gt;B101))</f>
        <v>0</v>
      </c>
      <c r="E101" s="1" t="n">
        <f aca="false">IF(A101,COUNTIF($B$2:$B$261,B101),0)</f>
        <v>0</v>
      </c>
      <c r="F101" s="1" t="str">
        <f aca="false">IF(A101,Dates!J101,"")</f>
        <v/>
      </c>
      <c r="G101" s="46" t="b">
        <f aca="false">AND(A101,OR(C101,F101&lt;&gt;F100))</f>
        <v>0</v>
      </c>
      <c r="H101" s="1" t="n">
        <f aca="false">IF(A101,COUNTIFS($B$2:$B$261,B101,$F$2:$F$261,F101),0)</f>
        <v>0</v>
      </c>
      <c r="I101" s="1" t="str">
        <f aca="false">IF(C101,"\multirow{"&amp;E101&amp;"}{*}{"&amp;B101&amp;"}","")</f>
        <v/>
      </c>
      <c r="J101" s="1" t="str">
        <f aca="false">IF(G101,IF(H101=1,F101,"\multirow{"&amp;H101&amp;"}{*}{"&amp;F101&amp;"}"),"")</f>
        <v/>
      </c>
      <c r="K101" s="1" t="str">
        <f aca="false">IF(A101,TEXT(Dates!K101,"00"),"")</f>
        <v/>
      </c>
      <c r="L101" s="1" t="str">
        <f aca="false">IF(A101,Dates!H101&amp;IF(C101,Settings!$B$2,""),"")</f>
        <v/>
      </c>
      <c r="M101" s="1" t="str">
        <f aca="false">IF(A101,IF(Schedule!I101="","",IF(ISNUMBER(Schedule!I101),IF(Schedule!I101&lt;10,Settings!$B$6&amp;TEXT(Schedule!I101,"#"),Schedule!I101),Schedule!I101)),"")</f>
        <v/>
      </c>
      <c r="N101" s="1" t="str">
        <f aca="false">IF(A101,IF(Schedule!J101="","",Schedule!J101),"")</f>
        <v/>
      </c>
      <c r="O101" s="1" t="str">
        <f aca="false">IF(A101,IF(AND(Settings!$B$14="longtable",NOT(D101)),Settings!$B$15,Settings!$B$3),"")</f>
        <v/>
      </c>
      <c r="P101" s="1" t="str">
        <f aca="false">IF(D101,Settings!$B$4,"")</f>
        <v/>
      </c>
    </row>
    <row r="102" customFormat="false" ht="15" hidden="false" customHeight="false" outlineLevel="0" collapsed="false">
      <c r="A102" s="46" t="b">
        <f aca="false">AND(Dates!F102&lt;&gt;"",ROW()&lt;=Settings!$B$13)</f>
        <v>0</v>
      </c>
      <c r="B102" s="1" t="str">
        <f aca="false">IF(NOT(A102),"",IF(Dates!D102&lt;&gt;"",Dates!D102,IF(ROW()=2,"",B101)))</f>
        <v/>
      </c>
      <c r="C102" s="46" t="b">
        <f aca="false">AND(A102,OR(ROW()=2,B102&lt;&gt;B101))</f>
        <v>0</v>
      </c>
      <c r="D102" s="46" t="b">
        <f aca="false">AND(A102,OR(NOT(A103),B103&lt;&gt;B102))</f>
        <v>0</v>
      </c>
      <c r="E102" s="1" t="n">
        <f aca="false">IF(A102,COUNTIF($B$2:$B$261,B102),0)</f>
        <v>0</v>
      </c>
      <c r="F102" s="1" t="str">
        <f aca="false">IF(A102,Dates!J102,"")</f>
        <v/>
      </c>
      <c r="G102" s="46" t="b">
        <f aca="false">AND(A102,OR(C102,F102&lt;&gt;F101))</f>
        <v>0</v>
      </c>
      <c r="H102" s="1" t="n">
        <f aca="false">IF(A102,COUNTIFS($B$2:$B$261,B102,$F$2:$F$261,F102),0)</f>
        <v>0</v>
      </c>
      <c r="I102" s="1" t="str">
        <f aca="false">IF(C102,"\multirow{"&amp;E102&amp;"}{*}{"&amp;B102&amp;"}","")</f>
        <v/>
      </c>
      <c r="J102" s="1" t="str">
        <f aca="false">IF(G102,IF(H102=1,F102,"\multirow{"&amp;H102&amp;"}{*}{"&amp;F102&amp;"}"),"")</f>
        <v/>
      </c>
      <c r="K102" s="1" t="str">
        <f aca="false">IF(A102,TEXT(Dates!K102,"00"),"")</f>
        <v/>
      </c>
      <c r="L102" s="1" t="str">
        <f aca="false">IF(A102,Dates!H102&amp;IF(C102,Settings!$B$2,""),"")</f>
        <v/>
      </c>
      <c r="M102" s="1" t="str">
        <f aca="false">IF(A102,IF(Schedule!I102="","",IF(ISNUMBER(Schedule!I102),IF(Schedule!I102&lt;10,Settings!$B$6&amp;TEXT(Schedule!I102,"#"),Schedule!I102),Schedule!I102)),"")</f>
        <v/>
      </c>
      <c r="N102" s="1" t="str">
        <f aca="false">IF(A102,IF(Schedule!J102="","",Schedule!J102),"")</f>
        <v/>
      </c>
      <c r="O102" s="1" t="str">
        <f aca="false">IF(A102,IF(AND(Settings!$B$14="longtable",NOT(D102)),Settings!$B$15,Settings!$B$3),"")</f>
        <v/>
      </c>
      <c r="P102" s="1" t="str">
        <f aca="false">IF(D102,Settings!$B$4,"")</f>
        <v/>
      </c>
    </row>
    <row r="103" customFormat="false" ht="15" hidden="false" customHeight="false" outlineLevel="0" collapsed="false">
      <c r="A103" s="46" t="b">
        <f aca="false">AND(Dates!F103&lt;&gt;"",ROW()&lt;=Settings!$B$13)</f>
        <v>0</v>
      </c>
      <c r="B103" s="1" t="str">
        <f aca="false">IF(NOT(A103),"",IF(Dates!D103&lt;&gt;"",Dates!D103,IF(ROW()=2,"",B102)))</f>
        <v/>
      </c>
      <c r="C103" s="46" t="b">
        <f aca="false">AND(A103,OR(ROW()=2,B103&lt;&gt;B102))</f>
        <v>0</v>
      </c>
      <c r="D103" s="46" t="b">
        <f aca="false">AND(A103,OR(NOT(A104),B104&lt;&gt;B103))</f>
        <v>0</v>
      </c>
      <c r="E103" s="1" t="n">
        <f aca="false">IF(A103,COUNTIF($B$2:$B$261,B103),0)</f>
        <v>0</v>
      </c>
      <c r="F103" s="1" t="str">
        <f aca="false">IF(A103,Dates!J103,"")</f>
        <v/>
      </c>
      <c r="G103" s="46" t="b">
        <f aca="false">AND(A103,OR(C103,F103&lt;&gt;F102))</f>
        <v>0</v>
      </c>
      <c r="H103" s="1" t="n">
        <f aca="false">IF(A103,COUNTIFS($B$2:$B$261,B103,$F$2:$F$261,F103),0)</f>
        <v>0</v>
      </c>
      <c r="I103" s="1" t="str">
        <f aca="false">IF(C103,"\multirow{"&amp;E103&amp;"}{*}{"&amp;B103&amp;"}","")</f>
        <v/>
      </c>
      <c r="J103" s="1" t="str">
        <f aca="false">IF(G103,IF(H103=1,F103,"\multirow{"&amp;H103&amp;"}{*}{"&amp;F103&amp;"}"),"")</f>
        <v/>
      </c>
      <c r="K103" s="1" t="str">
        <f aca="false">IF(A103,TEXT(Dates!K103,"00"),"")</f>
        <v/>
      </c>
      <c r="L103" s="1" t="str">
        <f aca="false">IF(A103,Dates!H103&amp;IF(C103,Settings!$B$2,""),"")</f>
        <v/>
      </c>
      <c r="M103" s="1" t="str">
        <f aca="false">IF(A103,IF(Schedule!I103="","",IF(ISNUMBER(Schedule!I103),IF(Schedule!I103&lt;10,Settings!$B$6&amp;TEXT(Schedule!I103,"#"),Schedule!I103),Schedule!I103)),"")</f>
        <v/>
      </c>
      <c r="N103" s="1" t="str">
        <f aca="false">IF(A103,IF(Schedule!J103="","",Schedule!J103),"")</f>
        <v/>
      </c>
      <c r="O103" s="1" t="str">
        <f aca="false">IF(A103,IF(AND(Settings!$B$14="longtable",NOT(D103)),Settings!$B$15,Settings!$B$3),"")</f>
        <v/>
      </c>
      <c r="P103" s="1" t="str">
        <f aca="false">IF(D103,Settings!$B$4,"")</f>
        <v/>
      </c>
    </row>
    <row r="104" customFormat="false" ht="15" hidden="false" customHeight="false" outlineLevel="0" collapsed="false">
      <c r="A104" s="46" t="b">
        <f aca="false">AND(Dates!F104&lt;&gt;"",ROW()&lt;=Settings!$B$13)</f>
        <v>0</v>
      </c>
      <c r="B104" s="1" t="str">
        <f aca="false">IF(NOT(A104),"",IF(Dates!D104&lt;&gt;"",Dates!D104,IF(ROW()=2,"",B103)))</f>
        <v/>
      </c>
      <c r="C104" s="46" t="b">
        <f aca="false">AND(A104,OR(ROW()=2,B104&lt;&gt;B103))</f>
        <v>0</v>
      </c>
      <c r="D104" s="46" t="b">
        <f aca="false">AND(A104,OR(NOT(A105),B105&lt;&gt;B104))</f>
        <v>0</v>
      </c>
      <c r="E104" s="1" t="n">
        <f aca="false">IF(A104,COUNTIF($B$2:$B$261,B104),0)</f>
        <v>0</v>
      </c>
      <c r="F104" s="1" t="str">
        <f aca="false">IF(A104,Dates!J104,"")</f>
        <v/>
      </c>
      <c r="G104" s="46" t="b">
        <f aca="false">AND(A104,OR(C104,F104&lt;&gt;F103))</f>
        <v>0</v>
      </c>
      <c r="H104" s="1" t="n">
        <f aca="false">IF(A104,COUNTIFS($B$2:$B$261,B104,$F$2:$F$261,F104),0)</f>
        <v>0</v>
      </c>
      <c r="I104" s="1" t="str">
        <f aca="false">IF(C104,"\multirow{"&amp;E104&amp;"}{*}{"&amp;B104&amp;"}","")</f>
        <v/>
      </c>
      <c r="J104" s="1" t="str">
        <f aca="false">IF(G104,IF(H104=1,F104,"\multirow{"&amp;H104&amp;"}{*}{"&amp;F104&amp;"}"),"")</f>
        <v/>
      </c>
      <c r="K104" s="1" t="str">
        <f aca="false">IF(A104,TEXT(Dates!K104,"00"),"")</f>
        <v/>
      </c>
      <c r="L104" s="1" t="str">
        <f aca="false">IF(A104,Dates!H104&amp;IF(C104,Settings!$B$2,""),"")</f>
        <v/>
      </c>
      <c r="M104" s="1" t="str">
        <f aca="false">IF(A104,IF(Schedule!I104="","",IF(ISNUMBER(Schedule!I104),IF(Schedule!I104&lt;10,Settings!$B$6&amp;TEXT(Schedule!I104,"#"),Schedule!I104),Schedule!I104)),"")</f>
        <v/>
      </c>
      <c r="N104" s="1" t="str">
        <f aca="false">IF(A104,IF(Schedule!J104="","",Schedule!J104),"")</f>
        <v/>
      </c>
      <c r="O104" s="1" t="str">
        <f aca="false">IF(A104,IF(AND(Settings!$B$14="longtable",NOT(D104)),Settings!$B$15,Settings!$B$3),"")</f>
        <v/>
      </c>
      <c r="P104" s="1" t="str">
        <f aca="false">IF(D104,Settings!$B$4,"")</f>
        <v/>
      </c>
    </row>
    <row r="105" customFormat="false" ht="15" hidden="false" customHeight="false" outlineLevel="0" collapsed="false">
      <c r="A105" s="46" t="b">
        <f aca="false">AND(Dates!F105&lt;&gt;"",ROW()&lt;=Settings!$B$13)</f>
        <v>0</v>
      </c>
      <c r="B105" s="1" t="str">
        <f aca="false">IF(NOT(A105),"",IF(Dates!D105&lt;&gt;"",Dates!D105,IF(ROW()=2,"",B104)))</f>
        <v/>
      </c>
      <c r="C105" s="46" t="b">
        <f aca="false">AND(A105,OR(ROW()=2,B105&lt;&gt;B104))</f>
        <v>0</v>
      </c>
      <c r="D105" s="46" t="b">
        <f aca="false">AND(A105,OR(NOT(A106),B106&lt;&gt;B105))</f>
        <v>0</v>
      </c>
      <c r="E105" s="1" t="n">
        <f aca="false">IF(A105,COUNTIF($B$2:$B$261,B105),0)</f>
        <v>0</v>
      </c>
      <c r="F105" s="1" t="str">
        <f aca="false">IF(A105,Dates!J105,"")</f>
        <v/>
      </c>
      <c r="G105" s="46" t="b">
        <f aca="false">AND(A105,OR(C105,F105&lt;&gt;F104))</f>
        <v>0</v>
      </c>
      <c r="H105" s="1" t="n">
        <f aca="false">IF(A105,COUNTIFS($B$2:$B$261,B105,$F$2:$F$261,F105),0)</f>
        <v>0</v>
      </c>
      <c r="I105" s="1" t="str">
        <f aca="false">IF(C105,"\multirow{"&amp;E105&amp;"}{*}{"&amp;B105&amp;"}","")</f>
        <v/>
      </c>
      <c r="J105" s="1" t="str">
        <f aca="false">IF(G105,IF(H105=1,F105,"\multirow{"&amp;H105&amp;"}{*}{"&amp;F105&amp;"}"),"")</f>
        <v/>
      </c>
      <c r="K105" s="1" t="str">
        <f aca="false">IF(A105,TEXT(Dates!K105,"00"),"")</f>
        <v/>
      </c>
      <c r="L105" s="1" t="str">
        <f aca="false">IF(A105,Dates!H105&amp;IF(C105,Settings!$B$2,""),"")</f>
        <v/>
      </c>
      <c r="M105" s="1" t="str">
        <f aca="false">IF(A105,IF(Schedule!I105="","",IF(ISNUMBER(Schedule!I105),IF(Schedule!I105&lt;10,Settings!$B$6&amp;TEXT(Schedule!I105,"#"),Schedule!I105),Schedule!I105)),"")</f>
        <v/>
      </c>
      <c r="N105" s="1" t="str">
        <f aca="false">IF(A105,IF(Schedule!J105="","",Schedule!J105),"")</f>
        <v/>
      </c>
      <c r="O105" s="1" t="str">
        <f aca="false">IF(A105,IF(AND(Settings!$B$14="longtable",NOT(D105)),Settings!$B$15,Settings!$B$3),"")</f>
        <v/>
      </c>
      <c r="P105" s="1" t="str">
        <f aca="false">IF(D105,Settings!$B$4,"")</f>
        <v/>
      </c>
    </row>
    <row r="106" customFormat="false" ht="15" hidden="false" customHeight="false" outlineLevel="0" collapsed="false">
      <c r="A106" s="46" t="b">
        <f aca="false">AND(Dates!F106&lt;&gt;"",ROW()&lt;=Settings!$B$13)</f>
        <v>0</v>
      </c>
      <c r="B106" s="1" t="str">
        <f aca="false">IF(NOT(A106),"",IF(Dates!D106&lt;&gt;"",Dates!D106,IF(ROW()=2,"",B105)))</f>
        <v/>
      </c>
      <c r="C106" s="46" t="b">
        <f aca="false">AND(A106,OR(ROW()=2,B106&lt;&gt;B105))</f>
        <v>0</v>
      </c>
      <c r="D106" s="46" t="b">
        <f aca="false">AND(A106,OR(NOT(A107),B107&lt;&gt;B106))</f>
        <v>0</v>
      </c>
      <c r="E106" s="1" t="n">
        <f aca="false">IF(A106,COUNTIF($B$2:$B$261,B106),0)</f>
        <v>0</v>
      </c>
      <c r="F106" s="1" t="str">
        <f aca="false">IF(A106,Dates!J106,"")</f>
        <v/>
      </c>
      <c r="G106" s="46" t="b">
        <f aca="false">AND(A106,OR(C106,F106&lt;&gt;F105))</f>
        <v>0</v>
      </c>
      <c r="H106" s="1" t="n">
        <f aca="false">IF(A106,COUNTIFS($B$2:$B$261,B106,$F$2:$F$261,F106),0)</f>
        <v>0</v>
      </c>
      <c r="I106" s="1" t="str">
        <f aca="false">IF(C106,"\multirow{"&amp;E106&amp;"}{*}{"&amp;B106&amp;"}","")</f>
        <v/>
      </c>
      <c r="J106" s="1" t="str">
        <f aca="false">IF(G106,IF(H106=1,F106,"\multirow{"&amp;H106&amp;"}{*}{"&amp;F106&amp;"}"),"")</f>
        <v/>
      </c>
      <c r="K106" s="1" t="str">
        <f aca="false">IF(A106,TEXT(Dates!K106,"00"),"")</f>
        <v/>
      </c>
      <c r="L106" s="1" t="str">
        <f aca="false">IF(A106,Dates!H106&amp;IF(C106,Settings!$B$2,""),"")</f>
        <v/>
      </c>
      <c r="M106" s="1" t="str">
        <f aca="false">IF(A106,IF(Schedule!I106="","",IF(ISNUMBER(Schedule!I106),IF(Schedule!I106&lt;10,Settings!$B$6&amp;TEXT(Schedule!I106,"#"),Schedule!I106),Schedule!I106)),"")</f>
        <v/>
      </c>
      <c r="N106" s="1" t="str">
        <f aca="false">IF(A106,IF(Schedule!J106="","",Schedule!J106),"")</f>
        <v/>
      </c>
      <c r="O106" s="1" t="str">
        <f aca="false">IF(A106,IF(AND(Settings!$B$14="longtable",NOT(D106)),Settings!$B$15,Settings!$B$3),"")</f>
        <v/>
      </c>
      <c r="P106" s="1" t="str">
        <f aca="false">IF(D106,Settings!$B$4,"")</f>
        <v/>
      </c>
    </row>
    <row r="107" customFormat="false" ht="15" hidden="false" customHeight="false" outlineLevel="0" collapsed="false">
      <c r="A107" s="46" t="b">
        <f aca="false">AND(Dates!F107&lt;&gt;"",ROW()&lt;=Settings!$B$13)</f>
        <v>0</v>
      </c>
      <c r="B107" s="1" t="str">
        <f aca="false">IF(NOT(A107),"",IF(Dates!D107&lt;&gt;"",Dates!D107,IF(ROW()=2,"",B106)))</f>
        <v/>
      </c>
      <c r="C107" s="46" t="b">
        <f aca="false">AND(A107,OR(ROW()=2,B107&lt;&gt;B106))</f>
        <v>0</v>
      </c>
      <c r="D107" s="46" t="b">
        <f aca="false">AND(A107,OR(NOT(A108),B108&lt;&gt;B107))</f>
        <v>0</v>
      </c>
      <c r="E107" s="1" t="n">
        <f aca="false">IF(A107,COUNTIF($B$2:$B$261,B107),0)</f>
        <v>0</v>
      </c>
      <c r="F107" s="1" t="str">
        <f aca="false">IF(A107,Dates!J107,"")</f>
        <v/>
      </c>
      <c r="G107" s="46" t="b">
        <f aca="false">AND(A107,OR(C107,F107&lt;&gt;F106))</f>
        <v>0</v>
      </c>
      <c r="H107" s="1" t="n">
        <f aca="false">IF(A107,COUNTIFS($B$2:$B$261,B107,$F$2:$F$261,F107),0)</f>
        <v>0</v>
      </c>
      <c r="I107" s="1" t="str">
        <f aca="false">IF(C107,"\multirow{"&amp;E107&amp;"}{*}{"&amp;B107&amp;"}","")</f>
        <v/>
      </c>
      <c r="J107" s="1" t="str">
        <f aca="false">IF(G107,IF(H107=1,F107,"\multirow{"&amp;H107&amp;"}{*}{"&amp;F107&amp;"}"),"")</f>
        <v/>
      </c>
      <c r="K107" s="1" t="str">
        <f aca="false">IF(A107,TEXT(Dates!K107,"00"),"")</f>
        <v/>
      </c>
      <c r="L107" s="1" t="str">
        <f aca="false">IF(A107,Dates!H107&amp;IF(C107,Settings!$B$2,""),"")</f>
        <v/>
      </c>
      <c r="M107" s="1" t="str">
        <f aca="false">IF(A107,IF(Schedule!I107="","",IF(ISNUMBER(Schedule!I107),IF(Schedule!I107&lt;10,Settings!$B$6&amp;TEXT(Schedule!I107,"#"),Schedule!I107),Schedule!I107)),"")</f>
        <v/>
      </c>
      <c r="N107" s="1" t="str">
        <f aca="false">IF(A107,IF(Schedule!J107="","",Schedule!J107),"")</f>
        <v/>
      </c>
      <c r="O107" s="1" t="str">
        <f aca="false">IF(A107,IF(AND(Settings!$B$14="longtable",NOT(D107)),Settings!$B$15,Settings!$B$3),"")</f>
        <v/>
      </c>
      <c r="P107" s="1" t="str">
        <f aca="false">IF(D107,Settings!$B$4,"")</f>
        <v/>
      </c>
    </row>
    <row r="108" customFormat="false" ht="15" hidden="false" customHeight="false" outlineLevel="0" collapsed="false">
      <c r="A108" s="46" t="b">
        <f aca="false">AND(Dates!F108&lt;&gt;"",ROW()&lt;=Settings!$B$13)</f>
        <v>0</v>
      </c>
      <c r="B108" s="1" t="str">
        <f aca="false">IF(NOT(A108),"",IF(Dates!D108&lt;&gt;"",Dates!D108,IF(ROW()=2,"",B107)))</f>
        <v/>
      </c>
      <c r="C108" s="46" t="b">
        <f aca="false">AND(A108,OR(ROW()=2,B108&lt;&gt;B107))</f>
        <v>0</v>
      </c>
      <c r="D108" s="46" t="b">
        <f aca="false">AND(A108,OR(NOT(A109),B109&lt;&gt;B108))</f>
        <v>0</v>
      </c>
      <c r="E108" s="1" t="n">
        <f aca="false">IF(A108,COUNTIF($B$2:$B$261,B108),0)</f>
        <v>0</v>
      </c>
      <c r="F108" s="1" t="str">
        <f aca="false">IF(A108,Dates!J108,"")</f>
        <v/>
      </c>
      <c r="G108" s="46" t="b">
        <f aca="false">AND(A108,OR(C108,F108&lt;&gt;F107))</f>
        <v>0</v>
      </c>
      <c r="H108" s="1" t="n">
        <f aca="false">IF(A108,COUNTIFS($B$2:$B$261,B108,$F$2:$F$261,F108),0)</f>
        <v>0</v>
      </c>
      <c r="I108" s="1" t="str">
        <f aca="false">IF(C108,"\multirow{"&amp;E108&amp;"}{*}{"&amp;B108&amp;"}","")</f>
        <v/>
      </c>
      <c r="J108" s="1" t="str">
        <f aca="false">IF(G108,IF(H108=1,F108,"\multirow{"&amp;H108&amp;"}{*}{"&amp;F108&amp;"}"),"")</f>
        <v/>
      </c>
      <c r="K108" s="1" t="str">
        <f aca="false">IF(A108,TEXT(Dates!K108,"00"),"")</f>
        <v/>
      </c>
      <c r="L108" s="1" t="str">
        <f aca="false">IF(A108,Dates!H108&amp;IF(C108,Settings!$B$2,""),"")</f>
        <v/>
      </c>
      <c r="M108" s="1" t="str">
        <f aca="false">IF(A108,IF(Schedule!I108="","",IF(ISNUMBER(Schedule!I108),IF(Schedule!I108&lt;10,Settings!$B$6&amp;TEXT(Schedule!I108,"#"),Schedule!I108),Schedule!I108)),"")</f>
        <v/>
      </c>
      <c r="N108" s="1" t="str">
        <f aca="false">IF(A108,IF(Schedule!J108="","",Schedule!J108),"")</f>
        <v/>
      </c>
      <c r="O108" s="1" t="str">
        <f aca="false">IF(A108,IF(AND(Settings!$B$14="longtable",NOT(D108)),Settings!$B$15,Settings!$B$3),"")</f>
        <v/>
      </c>
      <c r="P108" s="1" t="str">
        <f aca="false">IF(D108,Settings!$B$4,"")</f>
        <v/>
      </c>
    </row>
    <row r="109" customFormat="false" ht="15" hidden="false" customHeight="false" outlineLevel="0" collapsed="false">
      <c r="A109" s="46" t="b">
        <f aca="false">AND(Dates!F109&lt;&gt;"",ROW()&lt;=Settings!$B$13)</f>
        <v>0</v>
      </c>
      <c r="B109" s="1" t="str">
        <f aca="false">IF(NOT(A109),"",IF(Dates!D109&lt;&gt;"",Dates!D109,IF(ROW()=2,"",B108)))</f>
        <v/>
      </c>
      <c r="C109" s="46" t="b">
        <f aca="false">AND(A109,OR(ROW()=2,B109&lt;&gt;B108))</f>
        <v>0</v>
      </c>
      <c r="D109" s="46" t="b">
        <f aca="false">AND(A109,OR(NOT(A110),B110&lt;&gt;B109))</f>
        <v>0</v>
      </c>
      <c r="E109" s="1" t="n">
        <f aca="false">IF(A109,COUNTIF($B$2:$B$261,B109),0)</f>
        <v>0</v>
      </c>
      <c r="F109" s="1" t="str">
        <f aca="false">IF(A109,Dates!J109,"")</f>
        <v/>
      </c>
      <c r="G109" s="46" t="b">
        <f aca="false">AND(A109,OR(C109,F109&lt;&gt;F108))</f>
        <v>0</v>
      </c>
      <c r="H109" s="1" t="n">
        <f aca="false">IF(A109,COUNTIFS($B$2:$B$261,B109,$F$2:$F$261,F109),0)</f>
        <v>0</v>
      </c>
      <c r="I109" s="1" t="str">
        <f aca="false">IF(C109,"\multirow{"&amp;E109&amp;"}{*}{"&amp;B109&amp;"}","")</f>
        <v/>
      </c>
      <c r="J109" s="1" t="str">
        <f aca="false">IF(G109,IF(H109=1,F109,"\multirow{"&amp;H109&amp;"}{*}{"&amp;F109&amp;"}"),"")</f>
        <v/>
      </c>
      <c r="K109" s="1" t="str">
        <f aca="false">IF(A109,TEXT(Dates!K109,"00"),"")</f>
        <v/>
      </c>
      <c r="L109" s="1" t="str">
        <f aca="false">IF(A109,Dates!H109&amp;IF(C109,Settings!$B$2,""),"")</f>
        <v/>
      </c>
      <c r="M109" s="1" t="str">
        <f aca="false">IF(A109,IF(Schedule!I109="","",IF(ISNUMBER(Schedule!I109),IF(Schedule!I109&lt;10,Settings!$B$6&amp;TEXT(Schedule!I109,"#"),Schedule!I109),Schedule!I109)),"")</f>
        <v/>
      </c>
      <c r="N109" s="1" t="str">
        <f aca="false">IF(A109,IF(Schedule!J109="","",Schedule!J109),"")</f>
        <v/>
      </c>
      <c r="O109" s="1" t="str">
        <f aca="false">IF(A109,IF(AND(Settings!$B$14="longtable",NOT(D109)),Settings!$B$15,Settings!$B$3),"")</f>
        <v/>
      </c>
      <c r="P109" s="1" t="str">
        <f aca="false">IF(D109,Settings!$B$4,"")</f>
        <v/>
      </c>
    </row>
    <row r="110" customFormat="false" ht="15" hidden="false" customHeight="false" outlineLevel="0" collapsed="false">
      <c r="A110" s="46" t="b">
        <f aca="false">AND(Dates!F110&lt;&gt;"",ROW()&lt;=Settings!$B$13)</f>
        <v>0</v>
      </c>
      <c r="B110" s="1" t="str">
        <f aca="false">IF(NOT(A110),"",IF(Dates!D110&lt;&gt;"",Dates!D110,IF(ROW()=2,"",B109)))</f>
        <v/>
      </c>
      <c r="C110" s="46" t="b">
        <f aca="false">AND(A110,OR(ROW()=2,B110&lt;&gt;B109))</f>
        <v>0</v>
      </c>
      <c r="D110" s="46" t="b">
        <f aca="false">AND(A110,OR(NOT(A111),B111&lt;&gt;B110))</f>
        <v>0</v>
      </c>
      <c r="E110" s="1" t="n">
        <f aca="false">IF(A110,COUNTIF($B$2:$B$261,B110),0)</f>
        <v>0</v>
      </c>
      <c r="F110" s="1" t="str">
        <f aca="false">IF(A110,Dates!J110,"")</f>
        <v/>
      </c>
      <c r="G110" s="46" t="b">
        <f aca="false">AND(A110,OR(C110,F110&lt;&gt;F109))</f>
        <v>0</v>
      </c>
      <c r="H110" s="1" t="n">
        <f aca="false">IF(A110,COUNTIFS($B$2:$B$261,B110,$F$2:$F$261,F110),0)</f>
        <v>0</v>
      </c>
      <c r="I110" s="1" t="str">
        <f aca="false">IF(C110,"\multirow{"&amp;E110&amp;"}{*}{"&amp;B110&amp;"}","")</f>
        <v/>
      </c>
      <c r="J110" s="1" t="str">
        <f aca="false">IF(G110,IF(H110=1,F110,"\multirow{"&amp;H110&amp;"}{*}{"&amp;F110&amp;"}"),"")</f>
        <v/>
      </c>
      <c r="K110" s="1" t="str">
        <f aca="false">IF(A110,TEXT(Dates!K110,"00"),"")</f>
        <v/>
      </c>
      <c r="L110" s="1" t="str">
        <f aca="false">IF(A110,Dates!H110&amp;IF(C110,Settings!$B$2,""),"")</f>
        <v/>
      </c>
      <c r="M110" s="1" t="str">
        <f aca="false">IF(A110,IF(Schedule!I110="","",IF(ISNUMBER(Schedule!I110),IF(Schedule!I110&lt;10,Settings!$B$6&amp;TEXT(Schedule!I110,"#"),Schedule!I110),Schedule!I110)),"")</f>
        <v/>
      </c>
      <c r="N110" s="1" t="str">
        <f aca="false">IF(A110,IF(Schedule!J110="","",Schedule!J110),"")</f>
        <v/>
      </c>
      <c r="O110" s="1" t="str">
        <f aca="false">IF(A110,IF(AND(Settings!$B$14="longtable",NOT(D110)),Settings!$B$15,Settings!$B$3),"")</f>
        <v/>
      </c>
      <c r="P110" s="1" t="str">
        <f aca="false">IF(D110,Settings!$B$4,"")</f>
        <v/>
      </c>
    </row>
    <row r="111" customFormat="false" ht="15" hidden="false" customHeight="false" outlineLevel="0" collapsed="false">
      <c r="A111" s="46" t="b">
        <f aca="false">AND(Dates!F111&lt;&gt;"",ROW()&lt;=Settings!$B$13)</f>
        <v>0</v>
      </c>
      <c r="B111" s="1" t="str">
        <f aca="false">IF(NOT(A111),"",IF(Dates!D111&lt;&gt;"",Dates!D111,IF(ROW()=2,"",B110)))</f>
        <v/>
      </c>
      <c r="C111" s="46" t="b">
        <f aca="false">AND(A111,OR(ROW()=2,B111&lt;&gt;B110))</f>
        <v>0</v>
      </c>
      <c r="D111" s="46" t="b">
        <f aca="false">AND(A111,OR(NOT(A112),B112&lt;&gt;B111))</f>
        <v>0</v>
      </c>
      <c r="E111" s="1" t="n">
        <f aca="false">IF(A111,COUNTIF($B$2:$B$261,B111),0)</f>
        <v>0</v>
      </c>
      <c r="F111" s="1" t="str">
        <f aca="false">IF(A111,Dates!J111,"")</f>
        <v/>
      </c>
      <c r="G111" s="46" t="b">
        <f aca="false">AND(A111,OR(C111,F111&lt;&gt;F110))</f>
        <v>0</v>
      </c>
      <c r="H111" s="1" t="n">
        <f aca="false">IF(A111,COUNTIFS($B$2:$B$261,B111,$F$2:$F$261,F111),0)</f>
        <v>0</v>
      </c>
      <c r="I111" s="1" t="str">
        <f aca="false">IF(C111,"\multirow{"&amp;E111&amp;"}{*}{"&amp;B111&amp;"}","")</f>
        <v/>
      </c>
      <c r="J111" s="1" t="str">
        <f aca="false">IF(G111,IF(H111=1,F111,"\multirow{"&amp;H111&amp;"}{*}{"&amp;F111&amp;"}"),"")</f>
        <v/>
      </c>
      <c r="K111" s="1" t="str">
        <f aca="false">IF(A111,TEXT(Dates!K111,"00"),"")</f>
        <v/>
      </c>
      <c r="L111" s="1" t="str">
        <f aca="false">IF(A111,Dates!H111&amp;IF(C111,Settings!$B$2,""),"")</f>
        <v/>
      </c>
      <c r="M111" s="1" t="str">
        <f aca="false">IF(A111,IF(Schedule!I111="","",IF(ISNUMBER(Schedule!I111),IF(Schedule!I111&lt;10,Settings!$B$6&amp;TEXT(Schedule!I111,"#"),Schedule!I111),Schedule!I111)),"")</f>
        <v/>
      </c>
      <c r="N111" s="1" t="str">
        <f aca="false">IF(A111,IF(Schedule!J111="","",Schedule!J111),"")</f>
        <v/>
      </c>
      <c r="O111" s="1" t="str">
        <f aca="false">IF(A111,IF(AND(Settings!$B$14="longtable",NOT(D111)),Settings!$B$15,Settings!$B$3),"")</f>
        <v/>
      </c>
      <c r="P111" s="1" t="str">
        <f aca="false">IF(D111,Settings!$B$4,"")</f>
        <v/>
      </c>
    </row>
    <row r="112" customFormat="false" ht="15" hidden="false" customHeight="false" outlineLevel="0" collapsed="false">
      <c r="A112" s="46" t="b">
        <f aca="false">AND(Dates!F112&lt;&gt;"",ROW()&lt;=Settings!$B$13)</f>
        <v>0</v>
      </c>
      <c r="B112" s="1" t="str">
        <f aca="false">IF(NOT(A112),"",IF(Dates!D112&lt;&gt;"",Dates!D112,IF(ROW()=2,"",B111)))</f>
        <v/>
      </c>
      <c r="C112" s="46" t="b">
        <f aca="false">AND(A112,OR(ROW()=2,B112&lt;&gt;B111))</f>
        <v>0</v>
      </c>
      <c r="D112" s="46" t="b">
        <f aca="false">AND(A112,OR(NOT(A113),B113&lt;&gt;B112))</f>
        <v>0</v>
      </c>
      <c r="E112" s="1" t="n">
        <f aca="false">IF(A112,COUNTIF($B$2:$B$261,B112),0)</f>
        <v>0</v>
      </c>
      <c r="F112" s="1" t="str">
        <f aca="false">IF(A112,Dates!J112,"")</f>
        <v/>
      </c>
      <c r="G112" s="46" t="b">
        <f aca="false">AND(A112,OR(C112,F112&lt;&gt;F111))</f>
        <v>0</v>
      </c>
      <c r="H112" s="1" t="n">
        <f aca="false">IF(A112,COUNTIFS($B$2:$B$261,B112,$F$2:$F$261,F112),0)</f>
        <v>0</v>
      </c>
      <c r="I112" s="1" t="str">
        <f aca="false">IF(C112,"\multirow{"&amp;E112&amp;"}{*}{"&amp;B112&amp;"}","")</f>
        <v/>
      </c>
      <c r="J112" s="1" t="str">
        <f aca="false">IF(G112,IF(H112=1,F112,"\multirow{"&amp;H112&amp;"}{*}{"&amp;F112&amp;"}"),"")</f>
        <v/>
      </c>
      <c r="K112" s="1" t="str">
        <f aca="false">IF(A112,TEXT(Dates!K112,"00"),"")</f>
        <v/>
      </c>
      <c r="L112" s="1" t="str">
        <f aca="false">IF(A112,Dates!H112&amp;IF(C112,Settings!$B$2,""),"")</f>
        <v/>
      </c>
      <c r="M112" s="1" t="str">
        <f aca="false">IF(A112,IF(Schedule!I112="","",IF(ISNUMBER(Schedule!I112),IF(Schedule!I112&lt;10,Settings!$B$6&amp;TEXT(Schedule!I112,"#"),Schedule!I112),Schedule!I112)),"")</f>
        <v/>
      </c>
      <c r="N112" s="1" t="str">
        <f aca="false">IF(A112,IF(Schedule!J112="","",Schedule!J112),"")</f>
        <v/>
      </c>
      <c r="O112" s="1" t="str">
        <f aca="false">IF(A112,IF(AND(Settings!$B$14="longtable",NOT(D112)),Settings!$B$15,Settings!$B$3),"")</f>
        <v/>
      </c>
      <c r="P112" s="1" t="str">
        <f aca="false">IF(D112,Settings!$B$4,"")</f>
        <v/>
      </c>
    </row>
    <row r="113" customFormat="false" ht="15" hidden="false" customHeight="false" outlineLevel="0" collapsed="false">
      <c r="A113" s="46" t="b">
        <f aca="false">AND(Dates!F113&lt;&gt;"",ROW()&lt;=Settings!$B$13)</f>
        <v>0</v>
      </c>
      <c r="B113" s="1" t="str">
        <f aca="false">IF(NOT(A113),"",IF(Dates!D113&lt;&gt;"",Dates!D113,IF(ROW()=2,"",B112)))</f>
        <v/>
      </c>
      <c r="C113" s="46" t="b">
        <f aca="false">AND(A113,OR(ROW()=2,B113&lt;&gt;B112))</f>
        <v>0</v>
      </c>
      <c r="D113" s="46" t="b">
        <f aca="false">AND(A113,OR(NOT(A114),B114&lt;&gt;B113))</f>
        <v>0</v>
      </c>
      <c r="E113" s="1" t="n">
        <f aca="false">IF(A113,COUNTIF($B$2:$B$261,B113),0)</f>
        <v>0</v>
      </c>
      <c r="F113" s="1" t="str">
        <f aca="false">IF(A113,Dates!J113,"")</f>
        <v/>
      </c>
      <c r="G113" s="46" t="b">
        <f aca="false">AND(A113,OR(C113,F113&lt;&gt;F112))</f>
        <v>0</v>
      </c>
      <c r="H113" s="1" t="n">
        <f aca="false">IF(A113,COUNTIFS($B$2:$B$261,B113,$F$2:$F$261,F113),0)</f>
        <v>0</v>
      </c>
      <c r="I113" s="1" t="str">
        <f aca="false">IF(C113,"\multirow{"&amp;E113&amp;"}{*}{"&amp;B113&amp;"}","")</f>
        <v/>
      </c>
      <c r="J113" s="1" t="str">
        <f aca="false">IF(G113,IF(H113=1,F113,"\multirow{"&amp;H113&amp;"}{*}{"&amp;F113&amp;"}"),"")</f>
        <v/>
      </c>
      <c r="K113" s="1" t="str">
        <f aca="false">IF(A113,TEXT(Dates!K113,"00"),"")</f>
        <v/>
      </c>
      <c r="L113" s="1" t="str">
        <f aca="false">IF(A113,Dates!H113&amp;IF(C113,Settings!$B$2,""),"")</f>
        <v/>
      </c>
      <c r="M113" s="1" t="str">
        <f aca="false">IF(A113,IF(Schedule!I113="","",IF(ISNUMBER(Schedule!I113),IF(Schedule!I113&lt;10,Settings!$B$6&amp;TEXT(Schedule!I113,"#"),Schedule!I113),Schedule!I113)),"")</f>
        <v/>
      </c>
      <c r="N113" s="1" t="str">
        <f aca="false">IF(A113,IF(Schedule!J113="","",Schedule!J113),"")</f>
        <v/>
      </c>
      <c r="O113" s="1" t="str">
        <f aca="false">IF(A113,IF(AND(Settings!$B$14="longtable",NOT(D113)),Settings!$B$15,Settings!$B$3),"")</f>
        <v/>
      </c>
      <c r="P113" s="1" t="str">
        <f aca="false">IF(D113,Settings!$B$4,"")</f>
        <v/>
      </c>
    </row>
    <row r="114" customFormat="false" ht="15" hidden="false" customHeight="false" outlineLevel="0" collapsed="false">
      <c r="A114" s="46" t="b">
        <f aca="false">AND(Dates!F114&lt;&gt;"",ROW()&lt;=Settings!$B$13)</f>
        <v>0</v>
      </c>
      <c r="B114" s="1" t="str">
        <f aca="false">IF(NOT(A114),"",IF(Dates!D114&lt;&gt;"",Dates!D114,IF(ROW()=2,"",B113)))</f>
        <v/>
      </c>
      <c r="C114" s="46" t="b">
        <f aca="false">AND(A114,OR(ROW()=2,B114&lt;&gt;B113))</f>
        <v>0</v>
      </c>
      <c r="D114" s="46" t="b">
        <f aca="false">AND(A114,OR(NOT(A115),B115&lt;&gt;B114))</f>
        <v>0</v>
      </c>
      <c r="E114" s="1" t="n">
        <f aca="false">IF(A114,COUNTIF($B$2:$B$261,B114),0)</f>
        <v>0</v>
      </c>
      <c r="F114" s="1" t="str">
        <f aca="false">IF(A114,Dates!J114,"")</f>
        <v/>
      </c>
      <c r="G114" s="46" t="b">
        <f aca="false">AND(A114,OR(C114,F114&lt;&gt;F113))</f>
        <v>0</v>
      </c>
      <c r="H114" s="1" t="n">
        <f aca="false">IF(A114,COUNTIFS($B$2:$B$261,B114,$F$2:$F$261,F114),0)</f>
        <v>0</v>
      </c>
      <c r="I114" s="1" t="str">
        <f aca="false">IF(C114,"\multirow{"&amp;E114&amp;"}{*}{"&amp;B114&amp;"}","")</f>
        <v/>
      </c>
      <c r="J114" s="1" t="str">
        <f aca="false">IF(G114,IF(H114=1,F114,"\multirow{"&amp;H114&amp;"}{*}{"&amp;F114&amp;"}"),"")</f>
        <v/>
      </c>
      <c r="K114" s="1" t="str">
        <f aca="false">IF(A114,TEXT(Dates!K114,"00"),"")</f>
        <v/>
      </c>
      <c r="L114" s="1" t="str">
        <f aca="false">IF(A114,Dates!H114&amp;IF(C114,Settings!$B$2,""),"")</f>
        <v/>
      </c>
      <c r="M114" s="1" t="str">
        <f aca="false">IF(A114,IF(Schedule!I114="","",IF(ISNUMBER(Schedule!I114),IF(Schedule!I114&lt;10,Settings!$B$6&amp;TEXT(Schedule!I114,"#"),Schedule!I114),Schedule!I114)),"")</f>
        <v/>
      </c>
      <c r="N114" s="1" t="str">
        <f aca="false">IF(A114,IF(Schedule!J114="","",Schedule!J114),"")</f>
        <v/>
      </c>
      <c r="O114" s="1" t="str">
        <f aca="false">IF(A114,IF(AND(Settings!$B$14="longtable",NOT(D114)),Settings!$B$15,Settings!$B$3),"")</f>
        <v/>
      </c>
      <c r="P114" s="1" t="str">
        <f aca="false">IF(D114,Settings!$B$4,"")</f>
        <v/>
      </c>
    </row>
    <row r="115" customFormat="false" ht="15" hidden="false" customHeight="false" outlineLevel="0" collapsed="false">
      <c r="A115" s="46" t="b">
        <f aca="false">AND(Dates!F115&lt;&gt;"",ROW()&lt;=Settings!$B$13)</f>
        <v>0</v>
      </c>
      <c r="B115" s="1" t="str">
        <f aca="false">IF(NOT(A115),"",IF(Dates!D115&lt;&gt;"",Dates!D115,IF(ROW()=2,"",B114)))</f>
        <v/>
      </c>
      <c r="C115" s="46" t="b">
        <f aca="false">AND(A115,OR(ROW()=2,B115&lt;&gt;B114))</f>
        <v>0</v>
      </c>
      <c r="D115" s="46" t="b">
        <f aca="false">AND(A115,OR(NOT(A116),B116&lt;&gt;B115))</f>
        <v>0</v>
      </c>
      <c r="E115" s="1" t="n">
        <f aca="false">IF(A115,COUNTIF($B$2:$B$261,B115),0)</f>
        <v>0</v>
      </c>
      <c r="F115" s="1" t="str">
        <f aca="false">IF(A115,Dates!J115,"")</f>
        <v/>
      </c>
      <c r="G115" s="46" t="b">
        <f aca="false">AND(A115,OR(C115,F115&lt;&gt;F114))</f>
        <v>0</v>
      </c>
      <c r="H115" s="1" t="n">
        <f aca="false">IF(A115,COUNTIFS($B$2:$B$261,B115,$F$2:$F$261,F115),0)</f>
        <v>0</v>
      </c>
      <c r="I115" s="1" t="str">
        <f aca="false">IF(C115,"\multirow{"&amp;E115&amp;"}{*}{"&amp;B115&amp;"}","")</f>
        <v/>
      </c>
      <c r="J115" s="1" t="str">
        <f aca="false">IF(G115,IF(H115=1,F115,"\multirow{"&amp;H115&amp;"}{*}{"&amp;F115&amp;"}"),"")</f>
        <v/>
      </c>
      <c r="K115" s="1" t="str">
        <f aca="false">IF(A115,TEXT(Dates!K115,"00"),"")</f>
        <v/>
      </c>
      <c r="L115" s="1" t="str">
        <f aca="false">IF(A115,Dates!H115&amp;IF(C115,Settings!$B$2,""),"")</f>
        <v/>
      </c>
      <c r="M115" s="1" t="str">
        <f aca="false">IF(A115,IF(Schedule!I115="","",IF(ISNUMBER(Schedule!I115),IF(Schedule!I115&lt;10,Settings!$B$6&amp;TEXT(Schedule!I115,"#"),Schedule!I115),Schedule!I115)),"")</f>
        <v/>
      </c>
      <c r="N115" s="1" t="str">
        <f aca="false">IF(A115,IF(Schedule!J115="","",Schedule!J115),"")</f>
        <v/>
      </c>
      <c r="O115" s="1" t="str">
        <f aca="false">IF(A115,IF(AND(Settings!$B$14="longtable",NOT(D115)),Settings!$B$15,Settings!$B$3),"")</f>
        <v/>
      </c>
      <c r="P115" s="1" t="str">
        <f aca="false">IF(D115,Settings!$B$4,"")</f>
        <v/>
      </c>
    </row>
    <row r="116" customFormat="false" ht="15" hidden="false" customHeight="false" outlineLevel="0" collapsed="false">
      <c r="A116" s="46" t="b">
        <f aca="false">AND(Dates!F116&lt;&gt;"",ROW()&lt;=Settings!$B$13)</f>
        <v>0</v>
      </c>
      <c r="B116" s="1" t="str">
        <f aca="false">IF(NOT(A116),"",IF(Dates!D116&lt;&gt;"",Dates!D116,IF(ROW()=2,"",B115)))</f>
        <v/>
      </c>
      <c r="C116" s="46" t="b">
        <f aca="false">AND(A116,OR(ROW()=2,B116&lt;&gt;B115))</f>
        <v>0</v>
      </c>
      <c r="D116" s="46" t="b">
        <f aca="false">AND(A116,OR(NOT(A117),B117&lt;&gt;B116))</f>
        <v>0</v>
      </c>
      <c r="E116" s="1" t="n">
        <f aca="false">IF(A116,COUNTIF($B$2:$B$261,B116),0)</f>
        <v>0</v>
      </c>
      <c r="F116" s="1" t="str">
        <f aca="false">IF(A116,Dates!J116,"")</f>
        <v/>
      </c>
      <c r="G116" s="46" t="b">
        <f aca="false">AND(A116,OR(C116,F116&lt;&gt;F115))</f>
        <v>0</v>
      </c>
      <c r="H116" s="1" t="n">
        <f aca="false">IF(A116,COUNTIFS($B$2:$B$261,B116,$F$2:$F$261,F116),0)</f>
        <v>0</v>
      </c>
      <c r="I116" s="1" t="str">
        <f aca="false">IF(C116,"\multirow{"&amp;E116&amp;"}{*}{"&amp;B116&amp;"}","")</f>
        <v/>
      </c>
      <c r="J116" s="1" t="str">
        <f aca="false">IF(G116,IF(H116=1,F116,"\multirow{"&amp;H116&amp;"}{*}{"&amp;F116&amp;"}"),"")</f>
        <v/>
      </c>
      <c r="K116" s="1" t="str">
        <f aca="false">IF(A116,TEXT(Dates!K116,"00"),"")</f>
        <v/>
      </c>
      <c r="L116" s="1" t="str">
        <f aca="false">IF(A116,Dates!H116&amp;IF(C116,Settings!$B$2,""),"")</f>
        <v/>
      </c>
      <c r="M116" s="1" t="str">
        <f aca="false">IF(A116,IF(Schedule!I116="","",IF(ISNUMBER(Schedule!I116),IF(Schedule!I116&lt;10,Settings!$B$6&amp;TEXT(Schedule!I116,"#"),Schedule!I116),Schedule!I116)),"")</f>
        <v/>
      </c>
      <c r="N116" s="1" t="str">
        <f aca="false">IF(A116,IF(Schedule!J116="","",Schedule!J116),"")</f>
        <v/>
      </c>
      <c r="O116" s="1" t="str">
        <f aca="false">IF(A116,IF(AND(Settings!$B$14="longtable",NOT(D116)),Settings!$B$15,Settings!$B$3),"")</f>
        <v/>
      </c>
      <c r="P116" s="1" t="str">
        <f aca="false">IF(D116,Settings!$B$4,"")</f>
        <v/>
      </c>
    </row>
    <row r="117" customFormat="false" ht="15" hidden="false" customHeight="false" outlineLevel="0" collapsed="false">
      <c r="A117" s="46" t="b">
        <f aca="false">AND(Dates!F117&lt;&gt;"",ROW()&lt;=Settings!$B$13)</f>
        <v>0</v>
      </c>
      <c r="B117" s="1" t="str">
        <f aca="false">IF(NOT(A117),"",IF(Dates!D117&lt;&gt;"",Dates!D117,IF(ROW()=2,"",B116)))</f>
        <v/>
      </c>
      <c r="C117" s="46" t="b">
        <f aca="false">AND(A117,OR(ROW()=2,B117&lt;&gt;B116))</f>
        <v>0</v>
      </c>
      <c r="D117" s="46" t="b">
        <f aca="false">AND(A117,OR(NOT(A118),B118&lt;&gt;B117))</f>
        <v>0</v>
      </c>
      <c r="E117" s="1" t="n">
        <f aca="false">IF(A117,COUNTIF($B$2:$B$261,B117),0)</f>
        <v>0</v>
      </c>
      <c r="F117" s="1" t="str">
        <f aca="false">IF(A117,Dates!J117,"")</f>
        <v/>
      </c>
      <c r="G117" s="46" t="b">
        <f aca="false">AND(A117,OR(C117,F117&lt;&gt;F116))</f>
        <v>0</v>
      </c>
      <c r="H117" s="1" t="n">
        <f aca="false">IF(A117,COUNTIFS($B$2:$B$261,B117,$F$2:$F$261,F117),0)</f>
        <v>0</v>
      </c>
      <c r="I117" s="1" t="str">
        <f aca="false">IF(C117,"\multirow{"&amp;E117&amp;"}{*}{"&amp;B117&amp;"}","")</f>
        <v/>
      </c>
      <c r="J117" s="1" t="str">
        <f aca="false">IF(G117,IF(H117=1,F117,"\multirow{"&amp;H117&amp;"}{*}{"&amp;F117&amp;"}"),"")</f>
        <v/>
      </c>
      <c r="K117" s="1" t="str">
        <f aca="false">IF(A117,TEXT(Dates!K117,"00"),"")</f>
        <v/>
      </c>
      <c r="L117" s="1" t="str">
        <f aca="false">IF(A117,Dates!H117&amp;IF(C117,Settings!$B$2,""),"")</f>
        <v/>
      </c>
      <c r="M117" s="1" t="str">
        <f aca="false">IF(A117,IF(Schedule!I117="","",IF(ISNUMBER(Schedule!I117),IF(Schedule!I117&lt;10,Settings!$B$6&amp;TEXT(Schedule!I117,"#"),Schedule!I117),Schedule!I117)),"")</f>
        <v/>
      </c>
      <c r="N117" s="1" t="str">
        <f aca="false">IF(A117,IF(Schedule!J117="","",Schedule!J117),"")</f>
        <v/>
      </c>
      <c r="O117" s="1" t="str">
        <f aca="false">IF(A117,IF(AND(Settings!$B$14="longtable",NOT(D117)),Settings!$B$15,Settings!$B$3),"")</f>
        <v/>
      </c>
      <c r="P117" s="1" t="str">
        <f aca="false">IF(D117,Settings!$B$4,"")</f>
        <v/>
      </c>
    </row>
    <row r="118" customFormat="false" ht="15" hidden="false" customHeight="false" outlineLevel="0" collapsed="false">
      <c r="A118" s="46" t="b">
        <f aca="false">AND(Dates!F118&lt;&gt;"",ROW()&lt;=Settings!$B$13)</f>
        <v>0</v>
      </c>
      <c r="B118" s="1" t="str">
        <f aca="false">IF(NOT(A118),"",IF(Dates!D118&lt;&gt;"",Dates!D118,IF(ROW()=2,"",B117)))</f>
        <v/>
      </c>
      <c r="C118" s="46" t="b">
        <f aca="false">AND(A118,OR(ROW()=2,B118&lt;&gt;B117))</f>
        <v>0</v>
      </c>
      <c r="D118" s="46" t="b">
        <f aca="false">AND(A118,OR(NOT(A119),B119&lt;&gt;B118))</f>
        <v>0</v>
      </c>
      <c r="E118" s="1" t="n">
        <f aca="false">IF(A118,COUNTIF($B$2:$B$261,B118),0)</f>
        <v>0</v>
      </c>
      <c r="F118" s="1" t="str">
        <f aca="false">IF(A118,Dates!J118,"")</f>
        <v/>
      </c>
      <c r="G118" s="46" t="b">
        <f aca="false">AND(A118,OR(C118,F118&lt;&gt;F117))</f>
        <v>0</v>
      </c>
      <c r="H118" s="1" t="n">
        <f aca="false">IF(A118,COUNTIFS($B$2:$B$261,B118,$F$2:$F$261,F118),0)</f>
        <v>0</v>
      </c>
      <c r="I118" s="1" t="str">
        <f aca="false">IF(C118,"\multirow{"&amp;E118&amp;"}{*}{"&amp;B118&amp;"}","")</f>
        <v/>
      </c>
      <c r="J118" s="1" t="str">
        <f aca="false">IF(G118,IF(H118=1,F118,"\multirow{"&amp;H118&amp;"}{*}{"&amp;F118&amp;"}"),"")</f>
        <v/>
      </c>
      <c r="K118" s="1" t="str">
        <f aca="false">IF(A118,TEXT(Dates!K118,"00"),"")</f>
        <v/>
      </c>
      <c r="L118" s="1" t="str">
        <f aca="false">IF(A118,Dates!H118&amp;IF(C118,Settings!$B$2,""),"")</f>
        <v/>
      </c>
      <c r="M118" s="1" t="str">
        <f aca="false">IF(A118,IF(Schedule!I118="","",IF(ISNUMBER(Schedule!I118),IF(Schedule!I118&lt;10,Settings!$B$6&amp;TEXT(Schedule!I118,"#"),Schedule!I118),Schedule!I118)),"")</f>
        <v/>
      </c>
      <c r="N118" s="1" t="str">
        <f aca="false">IF(A118,IF(Schedule!J118="","",Schedule!J118),"")</f>
        <v/>
      </c>
      <c r="O118" s="1" t="str">
        <f aca="false">IF(A118,IF(AND(Settings!$B$14="longtable",NOT(D118)),Settings!$B$15,Settings!$B$3),"")</f>
        <v/>
      </c>
      <c r="P118" s="1" t="str">
        <f aca="false">IF(D118,Settings!$B$4,"")</f>
        <v/>
      </c>
    </row>
    <row r="119" customFormat="false" ht="15" hidden="false" customHeight="false" outlineLevel="0" collapsed="false">
      <c r="A119" s="46" t="b">
        <f aca="false">AND(Dates!F119&lt;&gt;"",ROW()&lt;=Settings!$B$13)</f>
        <v>0</v>
      </c>
      <c r="B119" s="1" t="str">
        <f aca="false">IF(NOT(A119),"",IF(Dates!D119&lt;&gt;"",Dates!D119,IF(ROW()=2,"",B118)))</f>
        <v/>
      </c>
      <c r="C119" s="46" t="b">
        <f aca="false">AND(A119,OR(ROW()=2,B119&lt;&gt;B118))</f>
        <v>0</v>
      </c>
      <c r="D119" s="46" t="b">
        <f aca="false">AND(A119,OR(NOT(A120),B120&lt;&gt;B119))</f>
        <v>0</v>
      </c>
      <c r="E119" s="1" t="n">
        <f aca="false">IF(A119,COUNTIF($B$2:$B$261,B119),0)</f>
        <v>0</v>
      </c>
      <c r="F119" s="1" t="str">
        <f aca="false">IF(A119,Dates!J119,"")</f>
        <v/>
      </c>
      <c r="G119" s="46" t="b">
        <f aca="false">AND(A119,OR(C119,F119&lt;&gt;F118))</f>
        <v>0</v>
      </c>
      <c r="H119" s="1" t="n">
        <f aca="false">IF(A119,COUNTIFS($B$2:$B$261,B119,$F$2:$F$261,F119),0)</f>
        <v>0</v>
      </c>
      <c r="I119" s="1" t="str">
        <f aca="false">IF(C119,"\multirow{"&amp;E119&amp;"}{*}{"&amp;B119&amp;"}","")</f>
        <v/>
      </c>
      <c r="J119" s="1" t="str">
        <f aca="false">IF(G119,IF(H119=1,F119,"\multirow{"&amp;H119&amp;"}{*}{"&amp;F119&amp;"}"),"")</f>
        <v/>
      </c>
      <c r="K119" s="1" t="str">
        <f aca="false">IF(A119,TEXT(Dates!K119,"00"),"")</f>
        <v/>
      </c>
      <c r="L119" s="1" t="str">
        <f aca="false">IF(A119,Dates!H119&amp;IF(C119,Settings!$B$2,""),"")</f>
        <v/>
      </c>
      <c r="M119" s="1" t="str">
        <f aca="false">IF(A119,IF(Schedule!I119="","",IF(ISNUMBER(Schedule!I119),IF(Schedule!I119&lt;10,Settings!$B$6&amp;TEXT(Schedule!I119,"#"),Schedule!I119),Schedule!I119)),"")</f>
        <v/>
      </c>
      <c r="N119" s="1" t="str">
        <f aca="false">IF(A119,IF(Schedule!J119="","",Schedule!J119),"")</f>
        <v/>
      </c>
      <c r="O119" s="1" t="str">
        <f aca="false">IF(A119,IF(AND(Settings!$B$14="longtable",NOT(D119)),Settings!$B$15,Settings!$B$3),"")</f>
        <v/>
      </c>
      <c r="P119" s="1" t="str">
        <f aca="false">IF(D119,Settings!$B$4,"")</f>
        <v/>
      </c>
    </row>
    <row r="120" customFormat="false" ht="15" hidden="false" customHeight="false" outlineLevel="0" collapsed="false">
      <c r="A120" s="46" t="b">
        <f aca="false">AND(Dates!F120&lt;&gt;"",ROW()&lt;=Settings!$B$13)</f>
        <v>0</v>
      </c>
      <c r="B120" s="1" t="str">
        <f aca="false">IF(NOT(A120),"",IF(Dates!D120&lt;&gt;"",Dates!D120,IF(ROW()=2,"",B119)))</f>
        <v/>
      </c>
      <c r="C120" s="46" t="b">
        <f aca="false">AND(A120,OR(ROW()=2,B120&lt;&gt;B119))</f>
        <v>0</v>
      </c>
      <c r="D120" s="46" t="b">
        <f aca="false">AND(A120,OR(NOT(A121),B121&lt;&gt;B120))</f>
        <v>0</v>
      </c>
      <c r="E120" s="1" t="n">
        <f aca="false">IF(A120,COUNTIF($B$2:$B$261,B120),0)</f>
        <v>0</v>
      </c>
      <c r="F120" s="1" t="str">
        <f aca="false">IF(A120,Dates!J120,"")</f>
        <v/>
      </c>
      <c r="G120" s="46" t="b">
        <f aca="false">AND(A120,OR(C120,F120&lt;&gt;F119))</f>
        <v>0</v>
      </c>
      <c r="H120" s="1" t="n">
        <f aca="false">IF(A120,COUNTIFS($B$2:$B$261,B120,$F$2:$F$261,F120),0)</f>
        <v>0</v>
      </c>
      <c r="I120" s="1" t="str">
        <f aca="false">IF(C120,"\multirow{"&amp;E120&amp;"}{*}{"&amp;B120&amp;"}","")</f>
        <v/>
      </c>
      <c r="J120" s="1" t="str">
        <f aca="false">IF(G120,IF(H120=1,F120,"\multirow{"&amp;H120&amp;"}{*}{"&amp;F120&amp;"}"),"")</f>
        <v/>
      </c>
      <c r="K120" s="1" t="str">
        <f aca="false">IF(A120,TEXT(Dates!K120,"00"),"")</f>
        <v/>
      </c>
      <c r="L120" s="1" t="str">
        <f aca="false">IF(A120,Dates!H120&amp;IF(C120,Settings!$B$2,""),"")</f>
        <v/>
      </c>
      <c r="M120" s="1" t="str">
        <f aca="false">IF(A120,IF(Schedule!I120="","",IF(ISNUMBER(Schedule!I120),IF(Schedule!I120&lt;10,Settings!$B$6&amp;TEXT(Schedule!I120,"#"),Schedule!I120),Schedule!I120)),"")</f>
        <v/>
      </c>
      <c r="N120" s="1" t="str">
        <f aca="false">IF(A120,IF(Schedule!J120="","",Schedule!J120),"")</f>
        <v/>
      </c>
      <c r="O120" s="1" t="str">
        <f aca="false">IF(A120,IF(AND(Settings!$B$14="longtable",NOT(D120)),Settings!$B$15,Settings!$B$3),"")</f>
        <v/>
      </c>
      <c r="P120" s="1" t="str">
        <f aca="false">IF(D120,Settings!$B$4,"")</f>
        <v/>
      </c>
    </row>
    <row r="121" customFormat="false" ht="15" hidden="false" customHeight="false" outlineLevel="0" collapsed="false">
      <c r="A121" s="46" t="b">
        <f aca="false">AND(Dates!F121&lt;&gt;"",ROW()&lt;=Settings!$B$13)</f>
        <v>0</v>
      </c>
      <c r="B121" s="1" t="str">
        <f aca="false">IF(NOT(A121),"",IF(Dates!D121&lt;&gt;"",Dates!D121,IF(ROW()=2,"",B120)))</f>
        <v/>
      </c>
      <c r="C121" s="46" t="b">
        <f aca="false">AND(A121,OR(ROW()=2,B121&lt;&gt;B120))</f>
        <v>0</v>
      </c>
      <c r="D121" s="46" t="b">
        <f aca="false">AND(A121,OR(NOT(A122),B122&lt;&gt;B121))</f>
        <v>0</v>
      </c>
      <c r="E121" s="1" t="n">
        <f aca="false">IF(A121,COUNTIF($B$2:$B$261,B121),0)</f>
        <v>0</v>
      </c>
      <c r="F121" s="1" t="str">
        <f aca="false">IF(A121,Dates!J121,"")</f>
        <v/>
      </c>
      <c r="G121" s="46" t="b">
        <f aca="false">AND(A121,OR(C121,F121&lt;&gt;F120))</f>
        <v>0</v>
      </c>
      <c r="H121" s="1" t="n">
        <f aca="false">IF(A121,COUNTIFS($B$2:$B$261,B121,$F$2:$F$261,F121),0)</f>
        <v>0</v>
      </c>
      <c r="I121" s="1" t="str">
        <f aca="false">IF(C121,"\multirow{"&amp;E121&amp;"}{*}{"&amp;B121&amp;"}","")</f>
        <v/>
      </c>
      <c r="J121" s="1" t="str">
        <f aca="false">IF(G121,IF(H121=1,F121,"\multirow{"&amp;H121&amp;"}{*}{"&amp;F121&amp;"}"),"")</f>
        <v/>
      </c>
      <c r="K121" s="1" t="str">
        <f aca="false">IF(A121,TEXT(Dates!K121,"00"),"")</f>
        <v/>
      </c>
      <c r="L121" s="1" t="str">
        <f aca="false">IF(A121,Dates!H121&amp;IF(C121,Settings!$B$2,""),"")</f>
        <v/>
      </c>
      <c r="M121" s="1" t="str">
        <f aca="false">IF(A121,IF(Schedule!I121="","",IF(ISNUMBER(Schedule!I121),IF(Schedule!I121&lt;10,Settings!$B$6&amp;TEXT(Schedule!I121,"#"),Schedule!I121),Schedule!I121)),"")</f>
        <v/>
      </c>
      <c r="N121" s="1" t="str">
        <f aca="false">IF(A121,IF(Schedule!J121="","",Schedule!J121),"")</f>
        <v/>
      </c>
      <c r="O121" s="1" t="str">
        <f aca="false">IF(A121,IF(AND(Settings!$B$14="longtable",NOT(D121)),Settings!$B$15,Settings!$B$3),"")</f>
        <v/>
      </c>
      <c r="P121" s="1" t="str">
        <f aca="false">IF(D121,Settings!$B$4,"")</f>
        <v/>
      </c>
    </row>
    <row r="122" customFormat="false" ht="15" hidden="false" customHeight="false" outlineLevel="0" collapsed="false">
      <c r="A122" s="46" t="b">
        <f aca="false">AND(Dates!F122&lt;&gt;"",ROW()&lt;=Settings!$B$13)</f>
        <v>0</v>
      </c>
      <c r="B122" s="1" t="str">
        <f aca="false">IF(NOT(A122),"",IF(Dates!D122&lt;&gt;"",Dates!D122,IF(ROW()=2,"",B121)))</f>
        <v/>
      </c>
      <c r="C122" s="46" t="b">
        <f aca="false">AND(A122,OR(ROW()=2,B122&lt;&gt;B121))</f>
        <v>0</v>
      </c>
      <c r="D122" s="46" t="b">
        <f aca="false">AND(A122,OR(NOT(A123),B123&lt;&gt;B122))</f>
        <v>0</v>
      </c>
      <c r="E122" s="1" t="n">
        <f aca="false">IF(A122,COUNTIF($B$2:$B$261,B122),0)</f>
        <v>0</v>
      </c>
      <c r="F122" s="1" t="str">
        <f aca="false">IF(A122,Dates!J122,"")</f>
        <v/>
      </c>
      <c r="G122" s="46" t="b">
        <f aca="false">AND(A122,OR(C122,F122&lt;&gt;F121))</f>
        <v>0</v>
      </c>
      <c r="H122" s="1" t="n">
        <f aca="false">IF(A122,COUNTIFS($B$2:$B$261,B122,$F$2:$F$261,F122),0)</f>
        <v>0</v>
      </c>
      <c r="I122" s="1" t="str">
        <f aca="false">IF(C122,"\multirow{"&amp;E122&amp;"}{*}{"&amp;B122&amp;"}","")</f>
        <v/>
      </c>
      <c r="J122" s="1" t="str">
        <f aca="false">IF(G122,IF(H122=1,F122,"\multirow{"&amp;H122&amp;"}{*}{"&amp;F122&amp;"}"),"")</f>
        <v/>
      </c>
      <c r="K122" s="1" t="str">
        <f aca="false">IF(A122,TEXT(Dates!K122,"00"),"")</f>
        <v/>
      </c>
      <c r="L122" s="1" t="str">
        <f aca="false">IF(A122,Dates!H122&amp;IF(C122,Settings!$B$2,""),"")</f>
        <v/>
      </c>
      <c r="M122" s="1" t="str">
        <f aca="false">IF(A122,IF(Schedule!I122="","",IF(ISNUMBER(Schedule!I122),IF(Schedule!I122&lt;10,Settings!$B$6&amp;TEXT(Schedule!I122,"#"),Schedule!I122),Schedule!I122)),"")</f>
        <v/>
      </c>
      <c r="N122" s="1" t="str">
        <f aca="false">IF(A122,IF(Schedule!J122="","",Schedule!J122),"")</f>
        <v/>
      </c>
      <c r="O122" s="1" t="str">
        <f aca="false">IF(A122,IF(AND(Settings!$B$14="longtable",NOT(D122)),Settings!$B$15,Settings!$B$3),"")</f>
        <v/>
      </c>
      <c r="P122" s="1" t="str">
        <f aca="false">IF(D122,Settings!$B$4,"")</f>
        <v/>
      </c>
    </row>
    <row r="123" customFormat="false" ht="15" hidden="false" customHeight="false" outlineLevel="0" collapsed="false">
      <c r="A123" s="46" t="b">
        <f aca="false">AND(Dates!F123&lt;&gt;"",ROW()&lt;=Settings!$B$13)</f>
        <v>0</v>
      </c>
      <c r="B123" s="1" t="str">
        <f aca="false">IF(NOT(A123),"",IF(Dates!D123&lt;&gt;"",Dates!D123,IF(ROW()=2,"",B122)))</f>
        <v/>
      </c>
      <c r="C123" s="46" t="b">
        <f aca="false">AND(A123,OR(ROW()=2,B123&lt;&gt;B122))</f>
        <v>0</v>
      </c>
      <c r="D123" s="46" t="b">
        <f aca="false">AND(A123,OR(NOT(A124),B124&lt;&gt;B123))</f>
        <v>0</v>
      </c>
      <c r="E123" s="1" t="n">
        <f aca="false">IF(A123,COUNTIF($B$2:$B$261,B123),0)</f>
        <v>0</v>
      </c>
      <c r="F123" s="1" t="str">
        <f aca="false">IF(A123,Dates!J123,"")</f>
        <v/>
      </c>
      <c r="G123" s="46" t="b">
        <f aca="false">AND(A123,OR(C123,F123&lt;&gt;F122))</f>
        <v>0</v>
      </c>
      <c r="H123" s="1" t="n">
        <f aca="false">IF(A123,COUNTIFS($B$2:$B$261,B123,$F$2:$F$261,F123),0)</f>
        <v>0</v>
      </c>
      <c r="I123" s="1" t="str">
        <f aca="false">IF(C123,"\multirow{"&amp;E123&amp;"}{*}{"&amp;B123&amp;"}","")</f>
        <v/>
      </c>
      <c r="J123" s="1" t="str">
        <f aca="false">IF(G123,IF(H123=1,F123,"\multirow{"&amp;H123&amp;"}{*}{"&amp;F123&amp;"}"),"")</f>
        <v/>
      </c>
      <c r="K123" s="1" t="str">
        <f aca="false">IF(A123,TEXT(Dates!K123,"00"),"")</f>
        <v/>
      </c>
      <c r="L123" s="1" t="str">
        <f aca="false">IF(A123,Dates!H123&amp;IF(C123,Settings!$B$2,""),"")</f>
        <v/>
      </c>
      <c r="M123" s="1" t="str">
        <f aca="false">IF(A123,IF(Schedule!I123="","",IF(ISNUMBER(Schedule!I123),IF(Schedule!I123&lt;10,Settings!$B$6&amp;TEXT(Schedule!I123,"#"),Schedule!I123),Schedule!I123)),"")</f>
        <v/>
      </c>
      <c r="N123" s="1" t="str">
        <f aca="false">IF(A123,IF(Schedule!J123="","",Schedule!J123),"")</f>
        <v/>
      </c>
      <c r="O123" s="1" t="str">
        <f aca="false">IF(A123,IF(AND(Settings!$B$14="longtable",NOT(D123)),Settings!$B$15,Settings!$B$3),"")</f>
        <v/>
      </c>
      <c r="P123" s="1" t="str">
        <f aca="false">IF(D123,Settings!$B$4,"")</f>
        <v/>
      </c>
    </row>
    <row r="124" customFormat="false" ht="15" hidden="false" customHeight="false" outlineLevel="0" collapsed="false">
      <c r="A124" s="46" t="b">
        <f aca="false">AND(Dates!F124&lt;&gt;"",ROW()&lt;=Settings!$B$13)</f>
        <v>0</v>
      </c>
      <c r="B124" s="1" t="str">
        <f aca="false">IF(NOT(A124),"",IF(Dates!D124&lt;&gt;"",Dates!D124,IF(ROW()=2,"",B123)))</f>
        <v/>
      </c>
      <c r="C124" s="46" t="b">
        <f aca="false">AND(A124,OR(ROW()=2,B124&lt;&gt;B123))</f>
        <v>0</v>
      </c>
      <c r="D124" s="46" t="b">
        <f aca="false">AND(A124,OR(NOT(A125),B125&lt;&gt;B124))</f>
        <v>0</v>
      </c>
      <c r="E124" s="1" t="n">
        <f aca="false">IF(A124,COUNTIF($B$2:$B$261,B124),0)</f>
        <v>0</v>
      </c>
      <c r="F124" s="1" t="str">
        <f aca="false">IF(A124,Dates!J124,"")</f>
        <v/>
      </c>
      <c r="G124" s="46" t="b">
        <f aca="false">AND(A124,OR(C124,F124&lt;&gt;F123))</f>
        <v>0</v>
      </c>
      <c r="H124" s="1" t="n">
        <f aca="false">IF(A124,COUNTIFS($B$2:$B$261,B124,$F$2:$F$261,F124),0)</f>
        <v>0</v>
      </c>
      <c r="I124" s="1" t="str">
        <f aca="false">IF(C124,"\multirow{"&amp;E124&amp;"}{*}{"&amp;B124&amp;"}","")</f>
        <v/>
      </c>
      <c r="J124" s="1" t="str">
        <f aca="false">IF(G124,IF(H124=1,F124,"\multirow{"&amp;H124&amp;"}{*}{"&amp;F124&amp;"}"),"")</f>
        <v/>
      </c>
      <c r="K124" s="1" t="str">
        <f aca="false">IF(A124,TEXT(Dates!K124,"00"),"")</f>
        <v/>
      </c>
      <c r="L124" s="1" t="str">
        <f aca="false">IF(A124,Dates!H124&amp;IF(C124,Settings!$B$2,""),"")</f>
        <v/>
      </c>
      <c r="M124" s="1" t="str">
        <f aca="false">IF(A124,IF(Schedule!I124="","",IF(ISNUMBER(Schedule!I124),IF(Schedule!I124&lt;10,Settings!$B$6&amp;TEXT(Schedule!I124,"#"),Schedule!I124),Schedule!I124)),"")</f>
        <v/>
      </c>
      <c r="N124" s="1" t="str">
        <f aca="false">IF(A124,IF(Schedule!J124="","",Schedule!J124),"")</f>
        <v/>
      </c>
      <c r="O124" s="1" t="str">
        <f aca="false">IF(A124,IF(AND(Settings!$B$14="longtable",NOT(D124)),Settings!$B$15,Settings!$B$3),"")</f>
        <v/>
      </c>
      <c r="P124" s="1" t="str">
        <f aca="false">IF(D124,Settings!$B$4,"")</f>
        <v/>
      </c>
    </row>
    <row r="125" customFormat="false" ht="15" hidden="false" customHeight="false" outlineLevel="0" collapsed="false">
      <c r="A125" s="46" t="b">
        <f aca="false">AND(Dates!F125&lt;&gt;"",ROW()&lt;=Settings!$B$13)</f>
        <v>0</v>
      </c>
      <c r="B125" s="1" t="str">
        <f aca="false">IF(NOT(A125),"",IF(Dates!D125&lt;&gt;"",Dates!D125,IF(ROW()=2,"",B124)))</f>
        <v/>
      </c>
      <c r="C125" s="46" t="b">
        <f aca="false">AND(A125,OR(ROW()=2,B125&lt;&gt;B124))</f>
        <v>0</v>
      </c>
      <c r="D125" s="46" t="b">
        <f aca="false">AND(A125,OR(NOT(A126),B126&lt;&gt;B125))</f>
        <v>0</v>
      </c>
      <c r="E125" s="1" t="n">
        <f aca="false">IF(A125,COUNTIF($B$2:$B$261,B125),0)</f>
        <v>0</v>
      </c>
      <c r="F125" s="1" t="str">
        <f aca="false">IF(A125,Dates!J125,"")</f>
        <v/>
      </c>
      <c r="G125" s="46" t="b">
        <f aca="false">AND(A125,OR(C125,F125&lt;&gt;F124))</f>
        <v>0</v>
      </c>
      <c r="H125" s="1" t="n">
        <f aca="false">IF(A125,COUNTIFS($B$2:$B$261,B125,$F$2:$F$261,F125),0)</f>
        <v>0</v>
      </c>
      <c r="I125" s="1" t="str">
        <f aca="false">IF(C125,"\multirow{"&amp;E125&amp;"}{*}{"&amp;B125&amp;"}","")</f>
        <v/>
      </c>
      <c r="J125" s="1" t="str">
        <f aca="false">IF(G125,IF(H125=1,F125,"\multirow{"&amp;H125&amp;"}{*}{"&amp;F125&amp;"}"),"")</f>
        <v/>
      </c>
      <c r="K125" s="1" t="str">
        <f aca="false">IF(A125,TEXT(Dates!K125,"00"),"")</f>
        <v/>
      </c>
      <c r="L125" s="1" t="str">
        <f aca="false">IF(A125,Dates!H125&amp;IF(C125,Settings!$B$2,""),"")</f>
        <v/>
      </c>
      <c r="M125" s="1" t="str">
        <f aca="false">IF(A125,IF(Schedule!I125="","",IF(ISNUMBER(Schedule!I125),IF(Schedule!I125&lt;10,Settings!$B$6&amp;TEXT(Schedule!I125,"#"),Schedule!I125),Schedule!I125)),"")</f>
        <v/>
      </c>
      <c r="N125" s="1" t="str">
        <f aca="false">IF(A125,IF(Schedule!J125="","",Schedule!J125),"")</f>
        <v/>
      </c>
      <c r="O125" s="1" t="str">
        <f aca="false">IF(A125,IF(AND(Settings!$B$14="longtable",NOT(D125)),Settings!$B$15,Settings!$B$3),"")</f>
        <v/>
      </c>
      <c r="P125" s="1" t="str">
        <f aca="false">IF(D125,Settings!$B$4,"")</f>
        <v/>
      </c>
    </row>
    <row r="126" customFormat="false" ht="15" hidden="false" customHeight="false" outlineLevel="0" collapsed="false">
      <c r="A126" s="46" t="b">
        <f aca="false">AND(Dates!F126&lt;&gt;"",ROW()&lt;=Settings!$B$13)</f>
        <v>0</v>
      </c>
      <c r="B126" s="1" t="str">
        <f aca="false">IF(NOT(A126),"",IF(Dates!D126&lt;&gt;"",Dates!D126,IF(ROW()=2,"",B125)))</f>
        <v/>
      </c>
      <c r="C126" s="46" t="b">
        <f aca="false">AND(A126,OR(ROW()=2,B126&lt;&gt;B125))</f>
        <v>0</v>
      </c>
      <c r="D126" s="46" t="b">
        <f aca="false">AND(A126,OR(NOT(A127),B127&lt;&gt;B126))</f>
        <v>0</v>
      </c>
      <c r="E126" s="1" t="n">
        <f aca="false">IF(A126,COUNTIF($B$2:$B$261,B126),0)</f>
        <v>0</v>
      </c>
      <c r="F126" s="1" t="str">
        <f aca="false">IF(A126,Dates!J126,"")</f>
        <v/>
      </c>
      <c r="G126" s="46" t="b">
        <f aca="false">AND(A126,OR(C126,F126&lt;&gt;F125))</f>
        <v>0</v>
      </c>
      <c r="H126" s="1" t="n">
        <f aca="false">IF(A126,COUNTIFS($B$2:$B$261,B126,$F$2:$F$261,F126),0)</f>
        <v>0</v>
      </c>
      <c r="I126" s="1" t="str">
        <f aca="false">IF(C126,"\multirow{"&amp;E126&amp;"}{*}{"&amp;B126&amp;"}","")</f>
        <v/>
      </c>
      <c r="J126" s="1" t="str">
        <f aca="false">IF(G126,IF(H126=1,F126,"\multirow{"&amp;H126&amp;"}{*}{"&amp;F126&amp;"}"),"")</f>
        <v/>
      </c>
      <c r="K126" s="1" t="str">
        <f aca="false">IF(A126,TEXT(Dates!K126,"00"),"")</f>
        <v/>
      </c>
      <c r="L126" s="1" t="str">
        <f aca="false">IF(A126,Dates!H126&amp;IF(C126,Settings!$B$2,""),"")</f>
        <v/>
      </c>
      <c r="M126" s="1" t="str">
        <f aca="false">IF(A126,IF(Schedule!I126="","",IF(ISNUMBER(Schedule!I126),IF(Schedule!I126&lt;10,Settings!$B$6&amp;TEXT(Schedule!I126,"#"),Schedule!I126),Schedule!I126)),"")</f>
        <v/>
      </c>
      <c r="N126" s="1" t="str">
        <f aca="false">IF(A126,IF(Schedule!J126="","",Schedule!J126),"")</f>
        <v/>
      </c>
      <c r="O126" s="1" t="str">
        <f aca="false">IF(A126,IF(AND(Settings!$B$14="longtable",NOT(D126)),Settings!$B$15,Settings!$B$3),"")</f>
        <v/>
      </c>
      <c r="P126" s="1" t="str">
        <f aca="false">IF(D126,Settings!$B$4,"")</f>
        <v/>
      </c>
    </row>
    <row r="127" customFormat="false" ht="15" hidden="false" customHeight="false" outlineLevel="0" collapsed="false">
      <c r="A127" s="46" t="b">
        <f aca="false">AND(Dates!F127&lt;&gt;"",ROW()&lt;=Settings!$B$13)</f>
        <v>0</v>
      </c>
      <c r="B127" s="1" t="str">
        <f aca="false">IF(NOT(A127),"",IF(Dates!D127&lt;&gt;"",Dates!D127,IF(ROW()=2,"",B126)))</f>
        <v/>
      </c>
      <c r="C127" s="46" t="b">
        <f aca="false">AND(A127,OR(ROW()=2,B127&lt;&gt;B126))</f>
        <v>0</v>
      </c>
      <c r="D127" s="46" t="b">
        <f aca="false">AND(A127,OR(NOT(A128),B128&lt;&gt;B127))</f>
        <v>0</v>
      </c>
      <c r="E127" s="1" t="n">
        <f aca="false">IF(A127,COUNTIF($B$2:$B$261,B127),0)</f>
        <v>0</v>
      </c>
      <c r="F127" s="1" t="str">
        <f aca="false">IF(A127,Dates!J127,"")</f>
        <v/>
      </c>
      <c r="G127" s="46" t="b">
        <f aca="false">AND(A127,OR(C127,F127&lt;&gt;F126))</f>
        <v>0</v>
      </c>
      <c r="H127" s="1" t="n">
        <f aca="false">IF(A127,COUNTIFS($B$2:$B$261,B127,$F$2:$F$261,F127),0)</f>
        <v>0</v>
      </c>
      <c r="I127" s="1" t="str">
        <f aca="false">IF(C127,"\multirow{"&amp;E127&amp;"}{*}{"&amp;B127&amp;"}","")</f>
        <v/>
      </c>
      <c r="J127" s="1" t="str">
        <f aca="false">IF(G127,IF(H127=1,F127,"\multirow{"&amp;H127&amp;"}{*}{"&amp;F127&amp;"}"),"")</f>
        <v/>
      </c>
      <c r="K127" s="1" t="str">
        <f aca="false">IF(A127,TEXT(Dates!K127,"00"),"")</f>
        <v/>
      </c>
      <c r="L127" s="1" t="str">
        <f aca="false">IF(A127,Dates!H127&amp;IF(C127,Settings!$B$2,""),"")</f>
        <v/>
      </c>
      <c r="M127" s="1" t="str">
        <f aca="false">IF(A127,IF(Schedule!I127="","",IF(ISNUMBER(Schedule!I127),IF(Schedule!I127&lt;10,Settings!$B$6&amp;TEXT(Schedule!I127,"#"),Schedule!I127),Schedule!I127)),"")</f>
        <v/>
      </c>
      <c r="N127" s="1" t="str">
        <f aca="false">IF(A127,IF(Schedule!J127="","",Schedule!J127),"")</f>
        <v/>
      </c>
      <c r="O127" s="1" t="str">
        <f aca="false">IF(A127,IF(AND(Settings!$B$14="longtable",NOT(D127)),Settings!$B$15,Settings!$B$3),"")</f>
        <v/>
      </c>
      <c r="P127" s="1" t="str">
        <f aca="false">IF(D127,Settings!$B$4,"")</f>
        <v/>
      </c>
    </row>
    <row r="128" customFormat="false" ht="15" hidden="false" customHeight="false" outlineLevel="0" collapsed="false">
      <c r="A128" s="46" t="b">
        <f aca="false">AND(Dates!F128&lt;&gt;"",ROW()&lt;=Settings!$B$13)</f>
        <v>0</v>
      </c>
      <c r="B128" s="1" t="str">
        <f aca="false">IF(NOT(A128),"",IF(Dates!D128&lt;&gt;"",Dates!D128,IF(ROW()=2,"",B127)))</f>
        <v/>
      </c>
      <c r="C128" s="46" t="b">
        <f aca="false">AND(A128,OR(ROW()=2,B128&lt;&gt;B127))</f>
        <v>0</v>
      </c>
      <c r="D128" s="46" t="b">
        <f aca="false">AND(A128,OR(NOT(A129),B129&lt;&gt;B128))</f>
        <v>0</v>
      </c>
      <c r="E128" s="1" t="n">
        <f aca="false">IF(A128,COUNTIF($B$2:$B$261,B128),0)</f>
        <v>0</v>
      </c>
      <c r="F128" s="1" t="str">
        <f aca="false">IF(A128,Dates!J128,"")</f>
        <v/>
      </c>
      <c r="G128" s="46" t="b">
        <f aca="false">AND(A128,OR(C128,F128&lt;&gt;F127))</f>
        <v>0</v>
      </c>
      <c r="H128" s="1" t="n">
        <f aca="false">IF(A128,COUNTIFS($B$2:$B$261,B128,$F$2:$F$261,F128),0)</f>
        <v>0</v>
      </c>
      <c r="I128" s="1" t="str">
        <f aca="false">IF(C128,"\multirow{"&amp;E128&amp;"}{*}{"&amp;B128&amp;"}","")</f>
        <v/>
      </c>
      <c r="J128" s="1" t="str">
        <f aca="false">IF(G128,IF(H128=1,F128,"\multirow{"&amp;H128&amp;"}{*}{"&amp;F128&amp;"}"),"")</f>
        <v/>
      </c>
      <c r="K128" s="1" t="str">
        <f aca="false">IF(A128,TEXT(Dates!K128,"00"),"")</f>
        <v/>
      </c>
      <c r="L128" s="1" t="str">
        <f aca="false">IF(A128,Dates!H128&amp;IF(C128,Settings!$B$2,""),"")</f>
        <v/>
      </c>
      <c r="M128" s="1" t="str">
        <f aca="false">IF(A128,IF(Schedule!I128="","",IF(ISNUMBER(Schedule!I128),IF(Schedule!I128&lt;10,Settings!$B$6&amp;TEXT(Schedule!I128,"#"),Schedule!I128),Schedule!I128)),"")</f>
        <v/>
      </c>
      <c r="N128" s="1" t="str">
        <f aca="false">IF(A128,IF(Schedule!J128="","",Schedule!J128),"")</f>
        <v/>
      </c>
      <c r="O128" s="1" t="str">
        <f aca="false">IF(A128,IF(AND(Settings!$B$14="longtable",NOT(D128)),Settings!$B$15,Settings!$B$3),"")</f>
        <v/>
      </c>
      <c r="P128" s="1" t="str">
        <f aca="false">IF(D128,Settings!$B$4,"")</f>
        <v/>
      </c>
    </row>
    <row r="129" customFormat="false" ht="15" hidden="false" customHeight="false" outlineLevel="0" collapsed="false">
      <c r="A129" s="46" t="b">
        <f aca="false">AND(Dates!F129&lt;&gt;"",ROW()&lt;=Settings!$B$13)</f>
        <v>0</v>
      </c>
      <c r="B129" s="1" t="str">
        <f aca="false">IF(NOT(A129),"",IF(Dates!D129&lt;&gt;"",Dates!D129,IF(ROW()=2,"",B128)))</f>
        <v/>
      </c>
      <c r="C129" s="46" t="b">
        <f aca="false">AND(A129,OR(ROW()=2,B129&lt;&gt;B128))</f>
        <v>0</v>
      </c>
      <c r="D129" s="46" t="b">
        <f aca="false">AND(A129,OR(NOT(A130),B130&lt;&gt;B129))</f>
        <v>0</v>
      </c>
      <c r="E129" s="1" t="n">
        <f aca="false">IF(A129,COUNTIF($B$2:$B$261,B129),0)</f>
        <v>0</v>
      </c>
      <c r="F129" s="1" t="str">
        <f aca="false">IF(A129,Dates!J129,"")</f>
        <v/>
      </c>
      <c r="G129" s="46" t="b">
        <f aca="false">AND(A129,OR(C129,F129&lt;&gt;F128))</f>
        <v>0</v>
      </c>
      <c r="H129" s="1" t="n">
        <f aca="false">IF(A129,COUNTIFS($B$2:$B$261,B129,$F$2:$F$261,F129),0)</f>
        <v>0</v>
      </c>
      <c r="I129" s="1" t="str">
        <f aca="false">IF(C129,"\multirow{"&amp;E129&amp;"}{*}{"&amp;B129&amp;"}","")</f>
        <v/>
      </c>
      <c r="J129" s="1" t="str">
        <f aca="false">IF(G129,IF(H129=1,F129,"\multirow{"&amp;H129&amp;"}{*}{"&amp;F129&amp;"}"),"")</f>
        <v/>
      </c>
      <c r="K129" s="1" t="str">
        <f aca="false">IF(A129,TEXT(Dates!K129,"00"),"")</f>
        <v/>
      </c>
      <c r="L129" s="1" t="str">
        <f aca="false">IF(A129,Dates!H129&amp;IF(C129,Settings!$B$2,""),"")</f>
        <v/>
      </c>
      <c r="M129" s="1" t="str">
        <f aca="false">IF(A129,IF(Schedule!I129="","",IF(ISNUMBER(Schedule!I129),IF(Schedule!I129&lt;10,Settings!$B$6&amp;TEXT(Schedule!I129,"#"),Schedule!I129),Schedule!I129)),"")</f>
        <v/>
      </c>
      <c r="N129" s="1" t="str">
        <f aca="false">IF(A129,IF(Schedule!J129="","",Schedule!J129),"")</f>
        <v/>
      </c>
      <c r="O129" s="1" t="str">
        <f aca="false">IF(A129,IF(AND(Settings!$B$14="longtable",NOT(D129)),Settings!$B$15,Settings!$B$3),"")</f>
        <v/>
      </c>
      <c r="P129" s="1" t="str">
        <f aca="false">IF(D129,Settings!$B$4,"")</f>
        <v/>
      </c>
    </row>
    <row r="130" customFormat="false" ht="15" hidden="false" customHeight="false" outlineLevel="0" collapsed="false">
      <c r="A130" s="46" t="b">
        <f aca="false">AND(Dates!F130&lt;&gt;"",ROW()&lt;=Settings!$B$13)</f>
        <v>0</v>
      </c>
      <c r="B130" s="1" t="str">
        <f aca="false">IF(NOT(A130),"",IF(Dates!D130&lt;&gt;"",Dates!D130,IF(ROW()=2,"",B129)))</f>
        <v/>
      </c>
      <c r="C130" s="46" t="b">
        <f aca="false">AND(A130,OR(ROW()=2,B130&lt;&gt;B129))</f>
        <v>0</v>
      </c>
      <c r="D130" s="46" t="b">
        <f aca="false">AND(A130,OR(NOT(A131),B131&lt;&gt;B130))</f>
        <v>0</v>
      </c>
      <c r="E130" s="1" t="n">
        <f aca="false">IF(A130,COUNTIF($B$2:$B$261,B130),0)</f>
        <v>0</v>
      </c>
      <c r="F130" s="1" t="str">
        <f aca="false">IF(A130,Dates!J130,"")</f>
        <v/>
      </c>
      <c r="G130" s="46" t="b">
        <f aca="false">AND(A130,OR(C130,F130&lt;&gt;F129))</f>
        <v>0</v>
      </c>
      <c r="H130" s="1" t="n">
        <f aca="false">IF(A130,COUNTIFS($B$2:$B$261,B130,$F$2:$F$261,F130),0)</f>
        <v>0</v>
      </c>
      <c r="I130" s="1" t="str">
        <f aca="false">IF(C130,"\multirow{"&amp;E130&amp;"}{*}{"&amp;B130&amp;"}","")</f>
        <v/>
      </c>
      <c r="J130" s="1" t="str">
        <f aca="false">IF(G130,IF(H130=1,F130,"\multirow{"&amp;H130&amp;"}{*}{"&amp;F130&amp;"}"),"")</f>
        <v/>
      </c>
      <c r="K130" s="1" t="str">
        <f aca="false">IF(A130,TEXT(Dates!K130,"00"),"")</f>
        <v/>
      </c>
      <c r="L130" s="1" t="str">
        <f aca="false">IF(A130,Dates!H130&amp;IF(C130,Settings!$B$2,""),"")</f>
        <v/>
      </c>
      <c r="M130" s="1" t="str">
        <f aca="false">IF(A130,IF(Schedule!I130="","",IF(ISNUMBER(Schedule!I130),IF(Schedule!I130&lt;10,Settings!$B$6&amp;TEXT(Schedule!I130,"#"),Schedule!I130),Schedule!I130)),"")</f>
        <v/>
      </c>
      <c r="N130" s="1" t="str">
        <f aca="false">IF(A130,IF(Schedule!J130="","",Schedule!J130),"")</f>
        <v/>
      </c>
      <c r="O130" s="1" t="str">
        <f aca="false">IF(A130,IF(AND(Settings!$B$14="longtable",NOT(D130)),Settings!$B$15,Settings!$B$3),"")</f>
        <v/>
      </c>
      <c r="P130" s="1" t="str">
        <f aca="false">IF(D130,Settings!$B$4,"")</f>
        <v/>
      </c>
    </row>
    <row r="131" customFormat="false" ht="15" hidden="false" customHeight="false" outlineLevel="0" collapsed="false">
      <c r="A131" s="46" t="b">
        <f aca="false">AND(Dates!F131&lt;&gt;"",ROW()&lt;=Settings!$B$13)</f>
        <v>0</v>
      </c>
      <c r="B131" s="1" t="str">
        <f aca="false">IF(NOT(A131),"",IF(Dates!D131&lt;&gt;"",Dates!D131,IF(ROW()=2,"",B130)))</f>
        <v/>
      </c>
      <c r="C131" s="46" t="b">
        <f aca="false">AND(A131,OR(ROW()=2,B131&lt;&gt;B130))</f>
        <v>0</v>
      </c>
      <c r="D131" s="46" t="b">
        <f aca="false">AND(A131,OR(NOT(A132),B132&lt;&gt;B131))</f>
        <v>0</v>
      </c>
      <c r="E131" s="1" t="n">
        <f aca="false">IF(A131,COUNTIF($B$2:$B$261,B131),0)</f>
        <v>0</v>
      </c>
      <c r="F131" s="1" t="str">
        <f aca="false">IF(A131,Dates!J131,"")</f>
        <v/>
      </c>
      <c r="G131" s="46" t="b">
        <f aca="false">AND(A131,OR(C131,F131&lt;&gt;F130))</f>
        <v>0</v>
      </c>
      <c r="H131" s="1" t="n">
        <f aca="false">IF(A131,COUNTIFS($B$2:$B$261,B131,$F$2:$F$261,F131),0)</f>
        <v>0</v>
      </c>
      <c r="I131" s="1" t="str">
        <f aca="false">IF(C131,"\multirow{"&amp;E131&amp;"}{*}{"&amp;B131&amp;"}","")</f>
        <v/>
      </c>
      <c r="J131" s="1" t="str">
        <f aca="false">IF(G131,IF(H131=1,F131,"\multirow{"&amp;H131&amp;"}{*}{"&amp;F131&amp;"}"),"")</f>
        <v/>
      </c>
      <c r="K131" s="1" t="str">
        <f aca="false">IF(A131,TEXT(Dates!K131,"00"),"")</f>
        <v/>
      </c>
      <c r="L131" s="1" t="str">
        <f aca="false">IF(A131,Dates!H131&amp;IF(C131,Settings!$B$2,""),"")</f>
        <v/>
      </c>
      <c r="M131" s="1" t="str">
        <f aca="false">IF(A131,IF(Schedule!I131="","",IF(ISNUMBER(Schedule!I131),IF(Schedule!I131&lt;10,Settings!$B$6&amp;TEXT(Schedule!I131,"#"),Schedule!I131),Schedule!I131)),"")</f>
        <v/>
      </c>
      <c r="N131" s="1" t="str">
        <f aca="false">IF(A131,IF(Schedule!J131="","",Schedule!J131),"")</f>
        <v/>
      </c>
      <c r="O131" s="1" t="str">
        <f aca="false">IF(A131,IF(AND(Settings!$B$14="longtable",NOT(D131)),Settings!$B$15,Settings!$B$3),"")</f>
        <v/>
      </c>
      <c r="P131" s="1" t="str">
        <f aca="false">IF(D131,Settings!$B$4,"")</f>
        <v/>
      </c>
    </row>
    <row r="132" customFormat="false" ht="15" hidden="false" customHeight="false" outlineLevel="0" collapsed="false">
      <c r="A132" s="46" t="b">
        <f aca="false">AND(Dates!F132&lt;&gt;"",ROW()&lt;=Settings!$B$13)</f>
        <v>0</v>
      </c>
      <c r="B132" s="1" t="str">
        <f aca="false">IF(NOT(A132),"",IF(Dates!D132&lt;&gt;"",Dates!D132,IF(ROW()=2,"",B131)))</f>
        <v/>
      </c>
      <c r="C132" s="46" t="b">
        <f aca="false">AND(A132,OR(ROW()=2,B132&lt;&gt;B131))</f>
        <v>0</v>
      </c>
      <c r="D132" s="46" t="b">
        <f aca="false">AND(A132,OR(NOT(A133),B133&lt;&gt;B132))</f>
        <v>0</v>
      </c>
      <c r="E132" s="1" t="n">
        <f aca="false">IF(A132,COUNTIF($B$2:$B$261,B132),0)</f>
        <v>0</v>
      </c>
      <c r="F132" s="1" t="str">
        <f aca="false">IF(A132,Dates!J132,"")</f>
        <v/>
      </c>
      <c r="G132" s="46" t="b">
        <f aca="false">AND(A132,OR(C132,F132&lt;&gt;F131))</f>
        <v>0</v>
      </c>
      <c r="H132" s="1" t="n">
        <f aca="false">IF(A132,COUNTIFS($B$2:$B$261,B132,$F$2:$F$261,F132),0)</f>
        <v>0</v>
      </c>
      <c r="I132" s="1" t="str">
        <f aca="false">IF(C132,"\multirow{"&amp;E132&amp;"}{*}{"&amp;B132&amp;"}","")</f>
        <v/>
      </c>
      <c r="J132" s="1" t="str">
        <f aca="false">IF(G132,IF(H132=1,F132,"\multirow{"&amp;H132&amp;"}{*}{"&amp;F132&amp;"}"),"")</f>
        <v/>
      </c>
      <c r="K132" s="1" t="str">
        <f aca="false">IF(A132,TEXT(Dates!K132,"00"),"")</f>
        <v/>
      </c>
      <c r="L132" s="1" t="str">
        <f aca="false">IF(A132,Dates!H132&amp;IF(C132,Settings!$B$2,""),"")</f>
        <v/>
      </c>
      <c r="M132" s="1" t="str">
        <f aca="false">IF(A132,IF(Schedule!I132="","",IF(ISNUMBER(Schedule!I132),IF(Schedule!I132&lt;10,Settings!$B$6&amp;TEXT(Schedule!I132,"#"),Schedule!I132),Schedule!I132)),"")</f>
        <v/>
      </c>
      <c r="N132" s="1" t="str">
        <f aca="false">IF(A132,IF(Schedule!J132="","",Schedule!J132),"")</f>
        <v/>
      </c>
      <c r="O132" s="1" t="str">
        <f aca="false">IF(A132,IF(AND(Settings!$B$14="longtable",NOT(D132)),Settings!$B$15,Settings!$B$3),"")</f>
        <v/>
      </c>
      <c r="P132" s="1" t="str">
        <f aca="false">IF(D132,Settings!$B$4,"")</f>
        <v/>
      </c>
    </row>
    <row r="133" customFormat="false" ht="15" hidden="false" customHeight="false" outlineLevel="0" collapsed="false">
      <c r="A133" s="46" t="b">
        <f aca="false">AND(Dates!F133&lt;&gt;"",ROW()&lt;=Settings!$B$13)</f>
        <v>0</v>
      </c>
      <c r="B133" s="1" t="str">
        <f aca="false">IF(NOT(A133),"",IF(Dates!D133&lt;&gt;"",Dates!D133,IF(ROW()=2,"",B132)))</f>
        <v/>
      </c>
      <c r="C133" s="46" t="b">
        <f aca="false">AND(A133,OR(ROW()=2,B133&lt;&gt;B132))</f>
        <v>0</v>
      </c>
      <c r="D133" s="46" t="b">
        <f aca="false">AND(A133,OR(NOT(A134),B134&lt;&gt;B133))</f>
        <v>0</v>
      </c>
      <c r="E133" s="1" t="n">
        <f aca="false">IF(A133,COUNTIF($B$2:$B$261,B133),0)</f>
        <v>0</v>
      </c>
      <c r="F133" s="1" t="str">
        <f aca="false">IF(A133,Dates!J133,"")</f>
        <v/>
      </c>
      <c r="G133" s="46" t="b">
        <f aca="false">AND(A133,OR(C133,F133&lt;&gt;F132))</f>
        <v>0</v>
      </c>
      <c r="H133" s="1" t="n">
        <f aca="false">IF(A133,COUNTIFS($B$2:$B$261,B133,$F$2:$F$261,F133),0)</f>
        <v>0</v>
      </c>
      <c r="I133" s="1" t="str">
        <f aca="false">IF(C133,"\multirow{"&amp;E133&amp;"}{*}{"&amp;B133&amp;"}","")</f>
        <v/>
      </c>
      <c r="J133" s="1" t="str">
        <f aca="false">IF(G133,IF(H133=1,F133,"\multirow{"&amp;H133&amp;"}{*}{"&amp;F133&amp;"}"),"")</f>
        <v/>
      </c>
      <c r="K133" s="1" t="str">
        <f aca="false">IF(A133,TEXT(Dates!K133,"00"),"")</f>
        <v/>
      </c>
      <c r="L133" s="1" t="str">
        <f aca="false">IF(A133,Dates!H133&amp;IF(C133,Settings!$B$2,""),"")</f>
        <v/>
      </c>
      <c r="M133" s="1" t="str">
        <f aca="false">IF(A133,IF(Schedule!I133="","",IF(ISNUMBER(Schedule!I133),IF(Schedule!I133&lt;10,Settings!$B$6&amp;TEXT(Schedule!I133,"#"),Schedule!I133),Schedule!I133)),"")</f>
        <v/>
      </c>
      <c r="N133" s="1" t="str">
        <f aca="false">IF(A133,IF(Schedule!J133="","",Schedule!J133),"")</f>
        <v/>
      </c>
      <c r="O133" s="1" t="str">
        <f aca="false">IF(A133,IF(AND(Settings!$B$14="longtable",NOT(D133)),Settings!$B$15,Settings!$B$3),"")</f>
        <v/>
      </c>
      <c r="P133" s="1" t="str">
        <f aca="false">IF(D133,Settings!$B$4,"")</f>
        <v/>
      </c>
    </row>
    <row r="134" customFormat="false" ht="15" hidden="false" customHeight="false" outlineLevel="0" collapsed="false">
      <c r="A134" s="46" t="b">
        <f aca="false">AND(Dates!F134&lt;&gt;"",ROW()&lt;=Settings!$B$13)</f>
        <v>0</v>
      </c>
      <c r="B134" s="1" t="str">
        <f aca="false">IF(NOT(A134),"",IF(Dates!D134&lt;&gt;"",Dates!D134,IF(ROW()=2,"",B133)))</f>
        <v/>
      </c>
      <c r="C134" s="46" t="b">
        <f aca="false">AND(A134,OR(ROW()=2,B134&lt;&gt;B133))</f>
        <v>0</v>
      </c>
      <c r="D134" s="46" t="b">
        <f aca="false">AND(A134,OR(NOT(A135),B135&lt;&gt;B134))</f>
        <v>0</v>
      </c>
      <c r="E134" s="1" t="n">
        <f aca="false">IF(A134,COUNTIF($B$2:$B$261,B134),0)</f>
        <v>0</v>
      </c>
      <c r="F134" s="1" t="str">
        <f aca="false">IF(A134,Dates!J134,"")</f>
        <v/>
      </c>
      <c r="G134" s="46" t="b">
        <f aca="false">AND(A134,OR(C134,F134&lt;&gt;F133))</f>
        <v>0</v>
      </c>
      <c r="H134" s="1" t="n">
        <f aca="false">IF(A134,COUNTIFS($B$2:$B$261,B134,$F$2:$F$261,F134),0)</f>
        <v>0</v>
      </c>
      <c r="I134" s="1" t="str">
        <f aca="false">IF(C134,"\multirow{"&amp;E134&amp;"}{*}{"&amp;B134&amp;"}","")</f>
        <v/>
      </c>
      <c r="J134" s="1" t="str">
        <f aca="false">IF(G134,IF(H134=1,F134,"\multirow{"&amp;H134&amp;"}{*}{"&amp;F134&amp;"}"),"")</f>
        <v/>
      </c>
      <c r="K134" s="1" t="str">
        <f aca="false">IF(A134,TEXT(Dates!K134,"00"),"")</f>
        <v/>
      </c>
      <c r="L134" s="1" t="str">
        <f aca="false">IF(A134,Dates!H134&amp;IF(C134,Settings!$B$2,""),"")</f>
        <v/>
      </c>
      <c r="M134" s="1" t="str">
        <f aca="false">IF(A134,IF(Schedule!I134="","",IF(ISNUMBER(Schedule!I134),IF(Schedule!I134&lt;10,Settings!$B$6&amp;TEXT(Schedule!I134,"#"),Schedule!I134),Schedule!I134)),"")</f>
        <v/>
      </c>
      <c r="N134" s="1" t="str">
        <f aca="false">IF(A134,IF(Schedule!J134="","",Schedule!J134),"")</f>
        <v/>
      </c>
      <c r="O134" s="1" t="str">
        <f aca="false">IF(A134,IF(AND(Settings!$B$14="longtable",NOT(D134)),Settings!$B$15,Settings!$B$3),"")</f>
        <v/>
      </c>
      <c r="P134" s="1" t="str">
        <f aca="false">IF(D134,Settings!$B$4,"")</f>
        <v/>
      </c>
    </row>
    <row r="135" customFormat="false" ht="15" hidden="false" customHeight="false" outlineLevel="0" collapsed="false">
      <c r="A135" s="46" t="b">
        <f aca="false">AND(Dates!F135&lt;&gt;"",ROW()&lt;=Settings!$B$13)</f>
        <v>0</v>
      </c>
      <c r="B135" s="1" t="str">
        <f aca="false">IF(NOT(A135),"",IF(Dates!D135&lt;&gt;"",Dates!D135,IF(ROW()=2,"",B134)))</f>
        <v/>
      </c>
      <c r="C135" s="46" t="b">
        <f aca="false">AND(A135,OR(ROW()=2,B135&lt;&gt;B134))</f>
        <v>0</v>
      </c>
      <c r="D135" s="46" t="b">
        <f aca="false">AND(A135,OR(NOT(A136),B136&lt;&gt;B135))</f>
        <v>0</v>
      </c>
      <c r="E135" s="1" t="n">
        <f aca="false">IF(A135,COUNTIF($B$2:$B$261,B135),0)</f>
        <v>0</v>
      </c>
      <c r="F135" s="1" t="str">
        <f aca="false">IF(A135,Dates!J135,"")</f>
        <v/>
      </c>
      <c r="G135" s="46" t="b">
        <f aca="false">AND(A135,OR(C135,F135&lt;&gt;F134))</f>
        <v>0</v>
      </c>
      <c r="H135" s="1" t="n">
        <f aca="false">IF(A135,COUNTIFS($B$2:$B$261,B135,$F$2:$F$261,F135),0)</f>
        <v>0</v>
      </c>
      <c r="I135" s="1" t="str">
        <f aca="false">IF(C135,"\multirow{"&amp;E135&amp;"}{*}{"&amp;B135&amp;"}","")</f>
        <v/>
      </c>
      <c r="J135" s="1" t="str">
        <f aca="false">IF(G135,IF(H135=1,F135,"\multirow{"&amp;H135&amp;"}{*}{"&amp;F135&amp;"}"),"")</f>
        <v/>
      </c>
      <c r="K135" s="1" t="str">
        <f aca="false">IF(A135,TEXT(Dates!K135,"00"),"")</f>
        <v/>
      </c>
      <c r="L135" s="1" t="str">
        <f aca="false">IF(A135,Dates!H135&amp;IF(C135,Settings!$B$2,""),"")</f>
        <v/>
      </c>
      <c r="M135" s="1" t="str">
        <f aca="false">IF(A135,IF(Schedule!I135="","",IF(ISNUMBER(Schedule!I135),IF(Schedule!I135&lt;10,Settings!$B$6&amp;TEXT(Schedule!I135,"#"),Schedule!I135),Schedule!I135)),"")</f>
        <v/>
      </c>
      <c r="N135" s="1" t="str">
        <f aca="false">IF(A135,IF(Schedule!J135="","",Schedule!J135),"")</f>
        <v/>
      </c>
      <c r="O135" s="1" t="str">
        <f aca="false">IF(A135,IF(AND(Settings!$B$14="longtable",NOT(D135)),Settings!$B$15,Settings!$B$3),"")</f>
        <v/>
      </c>
      <c r="P135" s="1" t="str">
        <f aca="false">IF(D135,Settings!$B$4,"")</f>
        <v/>
      </c>
    </row>
    <row r="136" customFormat="false" ht="15" hidden="false" customHeight="false" outlineLevel="0" collapsed="false">
      <c r="A136" s="46" t="b">
        <f aca="false">AND(Dates!F136&lt;&gt;"",ROW()&lt;=Settings!$B$13)</f>
        <v>0</v>
      </c>
      <c r="B136" s="1" t="str">
        <f aca="false">IF(NOT(A136),"",IF(Dates!D136&lt;&gt;"",Dates!D136,IF(ROW()=2,"",B135)))</f>
        <v/>
      </c>
      <c r="C136" s="46" t="b">
        <f aca="false">AND(A136,OR(ROW()=2,B136&lt;&gt;B135))</f>
        <v>0</v>
      </c>
      <c r="D136" s="46" t="b">
        <f aca="false">AND(A136,OR(NOT(A137),B137&lt;&gt;B136))</f>
        <v>0</v>
      </c>
      <c r="E136" s="1" t="n">
        <f aca="false">IF(A136,COUNTIF($B$2:$B$261,B136),0)</f>
        <v>0</v>
      </c>
      <c r="F136" s="1" t="str">
        <f aca="false">IF(A136,Dates!J136,"")</f>
        <v/>
      </c>
      <c r="G136" s="46" t="b">
        <f aca="false">AND(A136,OR(C136,F136&lt;&gt;F135))</f>
        <v>0</v>
      </c>
      <c r="H136" s="1" t="n">
        <f aca="false">IF(A136,COUNTIFS($B$2:$B$261,B136,$F$2:$F$261,F136),0)</f>
        <v>0</v>
      </c>
      <c r="I136" s="1" t="str">
        <f aca="false">IF(C136,"\multirow{"&amp;E136&amp;"}{*}{"&amp;B136&amp;"}","")</f>
        <v/>
      </c>
      <c r="J136" s="1" t="str">
        <f aca="false">IF(G136,IF(H136=1,F136,"\multirow{"&amp;H136&amp;"}{*}{"&amp;F136&amp;"}"),"")</f>
        <v/>
      </c>
      <c r="K136" s="1" t="str">
        <f aca="false">IF(A136,TEXT(Dates!K136,"00"),"")</f>
        <v/>
      </c>
      <c r="L136" s="1" t="str">
        <f aca="false">IF(A136,Dates!H136&amp;IF(C136,Settings!$B$2,""),"")</f>
        <v/>
      </c>
      <c r="M136" s="1" t="str">
        <f aca="false">IF(A136,IF(Schedule!I136="","",IF(ISNUMBER(Schedule!I136),IF(Schedule!I136&lt;10,Settings!$B$6&amp;TEXT(Schedule!I136,"#"),Schedule!I136),Schedule!I136)),"")</f>
        <v/>
      </c>
      <c r="N136" s="1" t="str">
        <f aca="false">IF(A136,IF(Schedule!J136="","",Schedule!J136),"")</f>
        <v/>
      </c>
      <c r="O136" s="1" t="str">
        <f aca="false">IF(A136,IF(AND(Settings!$B$14="longtable",NOT(D136)),Settings!$B$15,Settings!$B$3),"")</f>
        <v/>
      </c>
      <c r="P136" s="1" t="str">
        <f aca="false">IF(D136,Settings!$B$4,"")</f>
        <v/>
      </c>
    </row>
    <row r="137" customFormat="false" ht="15" hidden="false" customHeight="false" outlineLevel="0" collapsed="false">
      <c r="A137" s="46" t="b">
        <f aca="false">AND(Dates!F137&lt;&gt;"",ROW()&lt;=Settings!$B$13)</f>
        <v>0</v>
      </c>
      <c r="B137" s="1" t="str">
        <f aca="false">IF(NOT(A137),"",IF(Dates!D137&lt;&gt;"",Dates!D137,IF(ROW()=2,"",B136)))</f>
        <v/>
      </c>
      <c r="C137" s="46" t="b">
        <f aca="false">AND(A137,OR(ROW()=2,B137&lt;&gt;B136))</f>
        <v>0</v>
      </c>
      <c r="D137" s="46" t="b">
        <f aca="false">AND(A137,OR(NOT(A138),B138&lt;&gt;B137))</f>
        <v>0</v>
      </c>
      <c r="E137" s="1" t="n">
        <f aca="false">IF(A137,COUNTIF($B$2:$B$261,B137),0)</f>
        <v>0</v>
      </c>
      <c r="F137" s="1" t="str">
        <f aca="false">IF(A137,Dates!J137,"")</f>
        <v/>
      </c>
      <c r="G137" s="46" t="b">
        <f aca="false">AND(A137,OR(C137,F137&lt;&gt;F136))</f>
        <v>0</v>
      </c>
      <c r="H137" s="1" t="n">
        <f aca="false">IF(A137,COUNTIFS($B$2:$B$261,B137,$F$2:$F$261,F137),0)</f>
        <v>0</v>
      </c>
      <c r="I137" s="1" t="str">
        <f aca="false">IF(C137,"\multirow{"&amp;E137&amp;"}{*}{"&amp;B137&amp;"}","")</f>
        <v/>
      </c>
      <c r="J137" s="1" t="str">
        <f aca="false">IF(G137,IF(H137=1,F137,"\multirow{"&amp;H137&amp;"}{*}{"&amp;F137&amp;"}"),"")</f>
        <v/>
      </c>
      <c r="K137" s="1" t="str">
        <f aca="false">IF(A137,TEXT(Dates!K137,"00"),"")</f>
        <v/>
      </c>
      <c r="L137" s="1" t="str">
        <f aca="false">IF(A137,Dates!H137&amp;IF(C137,Settings!$B$2,""),"")</f>
        <v/>
      </c>
      <c r="M137" s="1" t="str">
        <f aca="false">IF(A137,IF(Schedule!I137="","",IF(ISNUMBER(Schedule!I137),IF(Schedule!I137&lt;10,Settings!$B$6&amp;TEXT(Schedule!I137,"#"),Schedule!I137),Schedule!I137)),"")</f>
        <v/>
      </c>
      <c r="N137" s="1" t="str">
        <f aca="false">IF(A137,IF(Schedule!J137="","",Schedule!J137),"")</f>
        <v/>
      </c>
      <c r="O137" s="1" t="str">
        <f aca="false">IF(A137,IF(AND(Settings!$B$14="longtable",NOT(D137)),Settings!$B$15,Settings!$B$3),"")</f>
        <v/>
      </c>
      <c r="P137" s="1" t="str">
        <f aca="false">IF(D137,Settings!$B$4,"")</f>
        <v/>
      </c>
    </row>
    <row r="138" customFormat="false" ht="15" hidden="false" customHeight="false" outlineLevel="0" collapsed="false">
      <c r="A138" s="46" t="b">
        <f aca="false">AND(Dates!F138&lt;&gt;"",ROW()&lt;=Settings!$B$13)</f>
        <v>0</v>
      </c>
      <c r="B138" s="1" t="str">
        <f aca="false">IF(NOT(A138),"",IF(Dates!D138&lt;&gt;"",Dates!D138,IF(ROW()=2,"",B137)))</f>
        <v/>
      </c>
      <c r="C138" s="46" t="b">
        <f aca="false">AND(A138,OR(ROW()=2,B138&lt;&gt;B137))</f>
        <v>0</v>
      </c>
      <c r="D138" s="46" t="b">
        <f aca="false">AND(A138,OR(NOT(A139),B139&lt;&gt;B138))</f>
        <v>0</v>
      </c>
      <c r="E138" s="1" t="n">
        <f aca="false">IF(A138,COUNTIF($B$2:$B$261,B138),0)</f>
        <v>0</v>
      </c>
      <c r="F138" s="1" t="str">
        <f aca="false">IF(A138,Dates!J138,"")</f>
        <v/>
      </c>
      <c r="G138" s="46" t="b">
        <f aca="false">AND(A138,OR(C138,F138&lt;&gt;F137))</f>
        <v>0</v>
      </c>
      <c r="H138" s="1" t="n">
        <f aca="false">IF(A138,COUNTIFS($B$2:$B$261,B138,$F$2:$F$261,F138),0)</f>
        <v>0</v>
      </c>
      <c r="I138" s="1" t="str">
        <f aca="false">IF(C138,"\multirow{"&amp;E138&amp;"}{*}{"&amp;B138&amp;"}","")</f>
        <v/>
      </c>
      <c r="J138" s="1" t="str">
        <f aca="false">IF(G138,IF(H138=1,F138,"\multirow{"&amp;H138&amp;"}{*}{"&amp;F138&amp;"}"),"")</f>
        <v/>
      </c>
      <c r="K138" s="1" t="str">
        <f aca="false">IF(A138,TEXT(Dates!K138,"00"),"")</f>
        <v/>
      </c>
      <c r="L138" s="1" t="str">
        <f aca="false">IF(A138,Dates!H138&amp;IF(C138,Settings!$B$2,""),"")</f>
        <v/>
      </c>
      <c r="M138" s="1" t="str">
        <f aca="false">IF(A138,IF(Schedule!I138="","",IF(ISNUMBER(Schedule!I138),IF(Schedule!I138&lt;10,Settings!$B$6&amp;TEXT(Schedule!I138,"#"),Schedule!I138),Schedule!I138)),"")</f>
        <v/>
      </c>
      <c r="N138" s="1" t="str">
        <f aca="false">IF(A138,IF(Schedule!J138="","",Schedule!J138),"")</f>
        <v/>
      </c>
      <c r="O138" s="1" t="str">
        <f aca="false">IF(A138,IF(AND(Settings!$B$14="longtable",NOT(D138)),Settings!$B$15,Settings!$B$3),"")</f>
        <v/>
      </c>
      <c r="P138" s="1" t="str">
        <f aca="false">IF(D138,Settings!$B$4,"")</f>
        <v/>
      </c>
    </row>
    <row r="139" customFormat="false" ht="15" hidden="false" customHeight="false" outlineLevel="0" collapsed="false">
      <c r="A139" s="46" t="b">
        <f aca="false">AND(Dates!F139&lt;&gt;"",ROW()&lt;=Settings!$B$13)</f>
        <v>0</v>
      </c>
      <c r="B139" s="1" t="str">
        <f aca="false">IF(NOT(A139),"",IF(Dates!D139&lt;&gt;"",Dates!D139,IF(ROW()=2,"",B138)))</f>
        <v/>
      </c>
      <c r="C139" s="46" t="b">
        <f aca="false">AND(A139,OR(ROW()=2,B139&lt;&gt;B138))</f>
        <v>0</v>
      </c>
      <c r="D139" s="46" t="b">
        <f aca="false">AND(A139,OR(NOT(A140),B140&lt;&gt;B139))</f>
        <v>0</v>
      </c>
      <c r="E139" s="1" t="n">
        <f aca="false">IF(A139,COUNTIF($B$2:$B$261,B139),0)</f>
        <v>0</v>
      </c>
      <c r="F139" s="1" t="str">
        <f aca="false">IF(A139,Dates!J139,"")</f>
        <v/>
      </c>
      <c r="G139" s="46" t="b">
        <f aca="false">AND(A139,OR(C139,F139&lt;&gt;F138))</f>
        <v>0</v>
      </c>
      <c r="H139" s="1" t="n">
        <f aca="false">IF(A139,COUNTIFS($B$2:$B$261,B139,$F$2:$F$261,F139),0)</f>
        <v>0</v>
      </c>
      <c r="I139" s="1" t="str">
        <f aca="false">IF(C139,"\multirow{"&amp;E139&amp;"}{*}{"&amp;B139&amp;"}","")</f>
        <v/>
      </c>
      <c r="J139" s="1" t="str">
        <f aca="false">IF(G139,IF(H139=1,F139,"\multirow{"&amp;H139&amp;"}{*}{"&amp;F139&amp;"}"),"")</f>
        <v/>
      </c>
      <c r="K139" s="1" t="str">
        <f aca="false">IF(A139,TEXT(Dates!K139,"00"),"")</f>
        <v/>
      </c>
      <c r="L139" s="1" t="str">
        <f aca="false">IF(A139,Dates!H139&amp;IF(C139,Settings!$B$2,""),"")</f>
        <v/>
      </c>
      <c r="M139" s="1" t="str">
        <f aca="false">IF(A139,IF(Schedule!I139="","",IF(ISNUMBER(Schedule!I139),IF(Schedule!I139&lt;10,Settings!$B$6&amp;TEXT(Schedule!I139,"#"),Schedule!I139),Schedule!I139)),"")</f>
        <v/>
      </c>
      <c r="N139" s="1" t="str">
        <f aca="false">IF(A139,IF(Schedule!J139="","",Schedule!J139),"")</f>
        <v/>
      </c>
      <c r="O139" s="1" t="str">
        <f aca="false">IF(A139,IF(AND(Settings!$B$14="longtable",NOT(D139)),Settings!$B$15,Settings!$B$3),"")</f>
        <v/>
      </c>
      <c r="P139" s="1" t="str">
        <f aca="false">IF(D139,Settings!$B$4,"")</f>
        <v/>
      </c>
    </row>
    <row r="140" customFormat="false" ht="15" hidden="false" customHeight="false" outlineLevel="0" collapsed="false">
      <c r="A140" s="46" t="b">
        <f aca="false">AND(Dates!F140&lt;&gt;"",ROW()&lt;=Settings!$B$13)</f>
        <v>0</v>
      </c>
      <c r="B140" s="1" t="str">
        <f aca="false">IF(NOT(A140),"",IF(Dates!D140&lt;&gt;"",Dates!D140,IF(ROW()=2,"",B139)))</f>
        <v/>
      </c>
      <c r="C140" s="46" t="b">
        <f aca="false">AND(A140,OR(ROW()=2,B140&lt;&gt;B139))</f>
        <v>0</v>
      </c>
      <c r="D140" s="46" t="b">
        <f aca="false">AND(A140,OR(NOT(A141),B141&lt;&gt;B140))</f>
        <v>0</v>
      </c>
      <c r="E140" s="1" t="n">
        <f aca="false">IF(A140,COUNTIF($B$2:$B$261,B140),0)</f>
        <v>0</v>
      </c>
      <c r="F140" s="1" t="str">
        <f aca="false">IF(A140,Dates!J140,"")</f>
        <v/>
      </c>
      <c r="G140" s="46" t="b">
        <f aca="false">AND(A140,OR(C140,F140&lt;&gt;F139))</f>
        <v>0</v>
      </c>
      <c r="H140" s="1" t="n">
        <f aca="false">IF(A140,COUNTIFS($B$2:$B$261,B140,$F$2:$F$261,F140),0)</f>
        <v>0</v>
      </c>
      <c r="I140" s="1" t="str">
        <f aca="false">IF(C140,"\multirow{"&amp;E140&amp;"}{*}{"&amp;B140&amp;"}","")</f>
        <v/>
      </c>
      <c r="J140" s="1" t="str">
        <f aca="false">IF(G140,IF(H140=1,F140,"\multirow{"&amp;H140&amp;"}{*}{"&amp;F140&amp;"}"),"")</f>
        <v/>
      </c>
      <c r="K140" s="1" t="str">
        <f aca="false">IF(A140,TEXT(Dates!K140,"00"),"")</f>
        <v/>
      </c>
      <c r="L140" s="1" t="str">
        <f aca="false">IF(A140,Dates!H140&amp;IF(C140,Settings!$B$2,""),"")</f>
        <v/>
      </c>
      <c r="M140" s="1" t="str">
        <f aca="false">IF(A140,IF(Schedule!I140="","",IF(ISNUMBER(Schedule!I140),IF(Schedule!I140&lt;10,Settings!$B$6&amp;TEXT(Schedule!I140,"#"),Schedule!I140),Schedule!I140)),"")</f>
        <v/>
      </c>
      <c r="N140" s="1" t="str">
        <f aca="false">IF(A140,IF(Schedule!J140="","",Schedule!J140),"")</f>
        <v/>
      </c>
      <c r="O140" s="1" t="str">
        <f aca="false">IF(A140,IF(AND(Settings!$B$14="longtable",NOT(D140)),Settings!$B$15,Settings!$B$3),"")</f>
        <v/>
      </c>
      <c r="P140" s="1" t="str">
        <f aca="false">IF(D140,Settings!$B$4,"")</f>
        <v/>
      </c>
    </row>
    <row r="141" customFormat="false" ht="15" hidden="false" customHeight="false" outlineLevel="0" collapsed="false">
      <c r="A141" s="46" t="b">
        <f aca="false">AND(Dates!F141&lt;&gt;"",ROW()&lt;=Settings!$B$13)</f>
        <v>0</v>
      </c>
      <c r="B141" s="1" t="str">
        <f aca="false">IF(NOT(A141),"",IF(Dates!D141&lt;&gt;"",Dates!D141,IF(ROW()=2,"",B140)))</f>
        <v/>
      </c>
      <c r="C141" s="46" t="b">
        <f aca="false">AND(A141,OR(ROW()=2,B141&lt;&gt;B140))</f>
        <v>0</v>
      </c>
      <c r="D141" s="46" t="b">
        <f aca="false">AND(A141,OR(NOT(A142),B142&lt;&gt;B141))</f>
        <v>0</v>
      </c>
      <c r="E141" s="1" t="n">
        <f aca="false">IF(A141,COUNTIF($B$2:$B$261,B141),0)</f>
        <v>0</v>
      </c>
      <c r="F141" s="1" t="str">
        <f aca="false">IF(A141,Dates!J141,"")</f>
        <v/>
      </c>
      <c r="G141" s="46" t="b">
        <f aca="false">AND(A141,OR(C141,F141&lt;&gt;F140))</f>
        <v>0</v>
      </c>
      <c r="H141" s="1" t="n">
        <f aca="false">IF(A141,COUNTIFS($B$2:$B$261,B141,$F$2:$F$261,F141),0)</f>
        <v>0</v>
      </c>
      <c r="I141" s="1" t="str">
        <f aca="false">IF(C141,"\multirow{"&amp;E141&amp;"}{*}{"&amp;B141&amp;"}","")</f>
        <v/>
      </c>
      <c r="J141" s="1" t="str">
        <f aca="false">IF(G141,IF(H141=1,F141,"\multirow{"&amp;H141&amp;"}{*}{"&amp;F141&amp;"}"),"")</f>
        <v/>
      </c>
      <c r="K141" s="1" t="str">
        <f aca="false">IF(A141,TEXT(Dates!K141,"00"),"")</f>
        <v/>
      </c>
      <c r="L141" s="1" t="str">
        <f aca="false">IF(A141,Dates!H141&amp;IF(C141,Settings!$B$2,""),"")</f>
        <v/>
      </c>
      <c r="M141" s="1" t="str">
        <f aca="false">IF(A141,IF(Schedule!I141="","",IF(ISNUMBER(Schedule!I141),IF(Schedule!I141&lt;10,Settings!$B$6&amp;TEXT(Schedule!I141,"#"),Schedule!I141),Schedule!I141)),"")</f>
        <v/>
      </c>
      <c r="N141" s="1" t="str">
        <f aca="false">IF(A141,IF(Schedule!J141="","",Schedule!J141),"")</f>
        <v/>
      </c>
      <c r="O141" s="1" t="str">
        <f aca="false">IF(A141,IF(AND(Settings!$B$14="longtable",NOT(D141)),Settings!$B$15,Settings!$B$3),"")</f>
        <v/>
      </c>
      <c r="P141" s="1" t="str">
        <f aca="false">IF(D141,Settings!$B$4,"")</f>
        <v/>
      </c>
    </row>
    <row r="142" customFormat="false" ht="15" hidden="false" customHeight="false" outlineLevel="0" collapsed="false">
      <c r="A142" s="46" t="b">
        <f aca="false">AND(Dates!F142&lt;&gt;"",ROW()&lt;=Settings!$B$13)</f>
        <v>0</v>
      </c>
      <c r="B142" s="1" t="str">
        <f aca="false">IF(NOT(A142),"",IF(Dates!D142&lt;&gt;"",Dates!D142,IF(ROW()=2,"",B141)))</f>
        <v/>
      </c>
      <c r="C142" s="46" t="b">
        <f aca="false">AND(A142,OR(ROW()=2,B142&lt;&gt;B141))</f>
        <v>0</v>
      </c>
      <c r="D142" s="46" t="b">
        <f aca="false">AND(A142,OR(NOT(A143),B143&lt;&gt;B142))</f>
        <v>0</v>
      </c>
      <c r="E142" s="1" t="n">
        <f aca="false">IF(A142,COUNTIF($B$2:$B$261,B142),0)</f>
        <v>0</v>
      </c>
      <c r="F142" s="1" t="str">
        <f aca="false">IF(A142,Dates!J142,"")</f>
        <v/>
      </c>
      <c r="G142" s="46" t="b">
        <f aca="false">AND(A142,OR(C142,F142&lt;&gt;F141))</f>
        <v>0</v>
      </c>
      <c r="H142" s="1" t="n">
        <f aca="false">IF(A142,COUNTIFS($B$2:$B$261,B142,$F$2:$F$261,F142),0)</f>
        <v>0</v>
      </c>
      <c r="I142" s="1" t="str">
        <f aca="false">IF(C142,"\multirow{"&amp;E142&amp;"}{*}{"&amp;B142&amp;"}","")</f>
        <v/>
      </c>
      <c r="J142" s="1" t="str">
        <f aca="false">IF(G142,IF(H142=1,F142,"\multirow{"&amp;H142&amp;"}{*}{"&amp;F142&amp;"}"),"")</f>
        <v/>
      </c>
      <c r="K142" s="1" t="str">
        <f aca="false">IF(A142,TEXT(Dates!K142,"00"),"")</f>
        <v/>
      </c>
      <c r="L142" s="1" t="str">
        <f aca="false">IF(A142,Dates!H142&amp;IF(C142,Settings!$B$2,""),"")</f>
        <v/>
      </c>
      <c r="M142" s="1" t="str">
        <f aca="false">IF(A142,IF(Schedule!I142="","",IF(ISNUMBER(Schedule!I142),IF(Schedule!I142&lt;10,Settings!$B$6&amp;TEXT(Schedule!I142,"#"),Schedule!I142),Schedule!I142)),"")</f>
        <v/>
      </c>
      <c r="N142" s="1" t="str">
        <f aca="false">IF(A142,IF(Schedule!J142="","",Schedule!J142),"")</f>
        <v/>
      </c>
      <c r="O142" s="1" t="str">
        <f aca="false">IF(A142,IF(AND(Settings!$B$14="longtable",NOT(D142)),Settings!$B$15,Settings!$B$3),"")</f>
        <v/>
      </c>
      <c r="P142" s="1" t="str">
        <f aca="false">IF(D142,Settings!$B$4,"")</f>
        <v/>
      </c>
    </row>
    <row r="143" customFormat="false" ht="15" hidden="false" customHeight="false" outlineLevel="0" collapsed="false">
      <c r="A143" s="46" t="b">
        <f aca="false">AND(Dates!F143&lt;&gt;"",ROW()&lt;=Settings!$B$13)</f>
        <v>0</v>
      </c>
      <c r="B143" s="1" t="str">
        <f aca="false">IF(NOT(A143),"",IF(Dates!D143&lt;&gt;"",Dates!D143,IF(ROW()=2,"",B142)))</f>
        <v/>
      </c>
      <c r="C143" s="46" t="b">
        <f aca="false">AND(A143,OR(ROW()=2,B143&lt;&gt;B142))</f>
        <v>0</v>
      </c>
      <c r="D143" s="46" t="b">
        <f aca="false">AND(A143,OR(NOT(A144),B144&lt;&gt;B143))</f>
        <v>0</v>
      </c>
      <c r="E143" s="1" t="n">
        <f aca="false">IF(A143,COUNTIF($B$2:$B$261,B143),0)</f>
        <v>0</v>
      </c>
      <c r="F143" s="1" t="str">
        <f aca="false">IF(A143,Dates!J143,"")</f>
        <v/>
      </c>
      <c r="G143" s="46" t="b">
        <f aca="false">AND(A143,OR(C143,F143&lt;&gt;F142))</f>
        <v>0</v>
      </c>
      <c r="H143" s="1" t="n">
        <f aca="false">IF(A143,COUNTIFS($B$2:$B$261,B143,$F$2:$F$261,F143),0)</f>
        <v>0</v>
      </c>
      <c r="I143" s="1" t="str">
        <f aca="false">IF(C143,"\multirow{"&amp;E143&amp;"}{*}{"&amp;B143&amp;"}","")</f>
        <v/>
      </c>
      <c r="J143" s="1" t="str">
        <f aca="false">IF(G143,IF(H143=1,F143,"\multirow{"&amp;H143&amp;"}{*}{"&amp;F143&amp;"}"),"")</f>
        <v/>
      </c>
      <c r="K143" s="1" t="str">
        <f aca="false">IF(A143,TEXT(Dates!K143,"00"),"")</f>
        <v/>
      </c>
      <c r="L143" s="1" t="str">
        <f aca="false">IF(A143,Dates!H143&amp;IF(C143,Settings!$B$2,""),"")</f>
        <v/>
      </c>
      <c r="M143" s="1" t="str">
        <f aca="false">IF(A143,IF(Schedule!I143="","",IF(ISNUMBER(Schedule!I143),IF(Schedule!I143&lt;10,Settings!$B$6&amp;TEXT(Schedule!I143,"#"),Schedule!I143),Schedule!I143)),"")</f>
        <v/>
      </c>
      <c r="N143" s="1" t="str">
        <f aca="false">IF(A143,IF(Schedule!J143="","",Schedule!J143),"")</f>
        <v/>
      </c>
      <c r="O143" s="1" t="str">
        <f aca="false">IF(A143,IF(AND(Settings!$B$14="longtable",NOT(D143)),Settings!$B$15,Settings!$B$3),"")</f>
        <v/>
      </c>
      <c r="P143" s="1" t="str">
        <f aca="false">IF(D143,Settings!$B$4,"")</f>
        <v/>
      </c>
    </row>
    <row r="144" customFormat="false" ht="15" hidden="false" customHeight="false" outlineLevel="0" collapsed="false">
      <c r="A144" s="46" t="b">
        <f aca="false">AND(Dates!F144&lt;&gt;"",ROW()&lt;=Settings!$B$13)</f>
        <v>0</v>
      </c>
      <c r="B144" s="1" t="str">
        <f aca="false">IF(NOT(A144),"",IF(Dates!D144&lt;&gt;"",Dates!D144,IF(ROW()=2,"",B143)))</f>
        <v/>
      </c>
      <c r="C144" s="46" t="b">
        <f aca="false">AND(A144,OR(ROW()=2,B144&lt;&gt;B143))</f>
        <v>0</v>
      </c>
      <c r="D144" s="46" t="b">
        <f aca="false">AND(A144,OR(NOT(A145),B145&lt;&gt;B144))</f>
        <v>0</v>
      </c>
      <c r="E144" s="1" t="n">
        <f aca="false">IF(A144,COUNTIF($B$2:$B$261,B144),0)</f>
        <v>0</v>
      </c>
      <c r="F144" s="1" t="str">
        <f aca="false">IF(A144,Dates!J144,"")</f>
        <v/>
      </c>
      <c r="G144" s="46" t="b">
        <f aca="false">AND(A144,OR(C144,F144&lt;&gt;F143))</f>
        <v>0</v>
      </c>
      <c r="H144" s="1" t="n">
        <f aca="false">IF(A144,COUNTIFS($B$2:$B$261,B144,$F$2:$F$261,F144),0)</f>
        <v>0</v>
      </c>
      <c r="I144" s="1" t="str">
        <f aca="false">IF(C144,"\multirow{"&amp;E144&amp;"}{*}{"&amp;B144&amp;"}","")</f>
        <v/>
      </c>
      <c r="J144" s="1" t="str">
        <f aca="false">IF(G144,IF(H144=1,F144,"\multirow{"&amp;H144&amp;"}{*}{"&amp;F144&amp;"}"),"")</f>
        <v/>
      </c>
      <c r="K144" s="1" t="str">
        <f aca="false">IF(A144,TEXT(Dates!K144,"00"),"")</f>
        <v/>
      </c>
      <c r="L144" s="1" t="str">
        <f aca="false">IF(A144,Dates!H144&amp;IF(C144,Settings!$B$2,""),"")</f>
        <v/>
      </c>
      <c r="M144" s="1" t="str">
        <f aca="false">IF(A144,IF(Schedule!I144="","",IF(ISNUMBER(Schedule!I144),IF(Schedule!I144&lt;10,Settings!$B$6&amp;TEXT(Schedule!I144,"#"),Schedule!I144),Schedule!I144)),"")</f>
        <v/>
      </c>
      <c r="N144" s="1" t="str">
        <f aca="false">IF(A144,IF(Schedule!J144="","",Schedule!J144),"")</f>
        <v/>
      </c>
      <c r="O144" s="1" t="str">
        <f aca="false">IF(A144,IF(AND(Settings!$B$14="longtable",NOT(D144)),Settings!$B$15,Settings!$B$3),"")</f>
        <v/>
      </c>
      <c r="P144" s="1" t="str">
        <f aca="false">IF(D144,Settings!$B$4,"")</f>
        <v/>
      </c>
    </row>
    <row r="145" customFormat="false" ht="15" hidden="false" customHeight="false" outlineLevel="0" collapsed="false">
      <c r="A145" s="46" t="b">
        <f aca="false">AND(Dates!F145&lt;&gt;"",ROW()&lt;=Settings!$B$13)</f>
        <v>0</v>
      </c>
      <c r="B145" s="1" t="str">
        <f aca="false">IF(NOT(A145),"",IF(Dates!D145&lt;&gt;"",Dates!D145,IF(ROW()=2,"",B144)))</f>
        <v/>
      </c>
      <c r="C145" s="46" t="b">
        <f aca="false">AND(A145,OR(ROW()=2,B145&lt;&gt;B144))</f>
        <v>0</v>
      </c>
      <c r="D145" s="46" t="b">
        <f aca="false">AND(A145,OR(NOT(A146),B146&lt;&gt;B145))</f>
        <v>0</v>
      </c>
      <c r="E145" s="1" t="n">
        <f aca="false">IF(A145,COUNTIF($B$2:$B$261,B145),0)</f>
        <v>0</v>
      </c>
      <c r="F145" s="1" t="str">
        <f aca="false">IF(A145,Dates!J145,"")</f>
        <v/>
      </c>
      <c r="G145" s="46" t="b">
        <f aca="false">AND(A145,OR(C145,F145&lt;&gt;F144))</f>
        <v>0</v>
      </c>
      <c r="H145" s="1" t="n">
        <f aca="false">IF(A145,COUNTIFS($B$2:$B$261,B145,$F$2:$F$261,F145),0)</f>
        <v>0</v>
      </c>
      <c r="I145" s="1" t="str">
        <f aca="false">IF(C145,"\multirow{"&amp;E145&amp;"}{*}{"&amp;B145&amp;"}","")</f>
        <v/>
      </c>
      <c r="J145" s="1" t="str">
        <f aca="false">IF(G145,IF(H145=1,F145,"\multirow{"&amp;H145&amp;"}{*}{"&amp;F145&amp;"}"),"")</f>
        <v/>
      </c>
      <c r="K145" s="1" t="str">
        <f aca="false">IF(A145,TEXT(Dates!K145,"00"),"")</f>
        <v/>
      </c>
      <c r="L145" s="1" t="str">
        <f aca="false">IF(A145,Dates!H145&amp;IF(C145,Settings!$B$2,""),"")</f>
        <v/>
      </c>
      <c r="M145" s="1" t="str">
        <f aca="false">IF(A145,IF(Schedule!I145="","",IF(ISNUMBER(Schedule!I145),IF(Schedule!I145&lt;10,Settings!$B$6&amp;TEXT(Schedule!I145,"#"),Schedule!I145),Schedule!I145)),"")</f>
        <v/>
      </c>
      <c r="N145" s="1" t="str">
        <f aca="false">IF(A145,IF(Schedule!J145="","",Schedule!J145),"")</f>
        <v/>
      </c>
      <c r="O145" s="1" t="str">
        <f aca="false">IF(A145,IF(AND(Settings!$B$14="longtable",NOT(D145)),Settings!$B$15,Settings!$B$3),"")</f>
        <v/>
      </c>
      <c r="P145" s="1" t="str">
        <f aca="false">IF(D145,Settings!$B$4,"")</f>
        <v/>
      </c>
    </row>
    <row r="146" customFormat="false" ht="15" hidden="false" customHeight="false" outlineLevel="0" collapsed="false">
      <c r="A146" s="46" t="b">
        <f aca="false">AND(Dates!F146&lt;&gt;"",ROW()&lt;=Settings!$B$13)</f>
        <v>0</v>
      </c>
      <c r="B146" s="1" t="str">
        <f aca="false">IF(NOT(A146),"",IF(Dates!D146&lt;&gt;"",Dates!D146,IF(ROW()=2,"",B145)))</f>
        <v/>
      </c>
      <c r="C146" s="46" t="b">
        <f aca="false">AND(A146,OR(ROW()=2,B146&lt;&gt;B145))</f>
        <v>0</v>
      </c>
      <c r="D146" s="46" t="b">
        <f aca="false">AND(A146,OR(NOT(A147),B147&lt;&gt;B146))</f>
        <v>0</v>
      </c>
      <c r="E146" s="1" t="n">
        <f aca="false">IF(A146,COUNTIF($B$2:$B$261,B146),0)</f>
        <v>0</v>
      </c>
      <c r="F146" s="1" t="str">
        <f aca="false">IF(A146,Dates!J146,"")</f>
        <v/>
      </c>
      <c r="G146" s="46" t="b">
        <f aca="false">AND(A146,OR(C146,F146&lt;&gt;F145))</f>
        <v>0</v>
      </c>
      <c r="H146" s="1" t="n">
        <f aca="false">IF(A146,COUNTIFS($B$2:$B$261,B146,$F$2:$F$261,F146),0)</f>
        <v>0</v>
      </c>
      <c r="I146" s="1" t="str">
        <f aca="false">IF(C146,"\multirow{"&amp;E146&amp;"}{*}{"&amp;B146&amp;"}","")</f>
        <v/>
      </c>
      <c r="J146" s="1" t="str">
        <f aca="false">IF(G146,IF(H146=1,F146,"\multirow{"&amp;H146&amp;"}{*}{"&amp;F146&amp;"}"),"")</f>
        <v/>
      </c>
      <c r="K146" s="1" t="str">
        <f aca="false">IF(A146,TEXT(Dates!K146,"00"),"")</f>
        <v/>
      </c>
      <c r="L146" s="1" t="str">
        <f aca="false">IF(A146,Dates!H146&amp;IF(C146,Settings!$B$2,""),"")</f>
        <v/>
      </c>
      <c r="M146" s="1" t="str">
        <f aca="false">IF(A146,IF(Schedule!I146="","",IF(ISNUMBER(Schedule!I146),IF(Schedule!I146&lt;10,Settings!$B$6&amp;TEXT(Schedule!I146,"#"),Schedule!I146),Schedule!I146)),"")</f>
        <v/>
      </c>
      <c r="N146" s="1" t="str">
        <f aca="false">IF(A146,IF(Schedule!J146="","",Schedule!J146),"")</f>
        <v/>
      </c>
      <c r="O146" s="1" t="str">
        <f aca="false">IF(A146,IF(AND(Settings!$B$14="longtable",NOT(D146)),Settings!$B$15,Settings!$B$3),"")</f>
        <v/>
      </c>
      <c r="P146" s="1" t="str">
        <f aca="false">IF(D146,Settings!$B$4,"")</f>
        <v/>
      </c>
    </row>
    <row r="147" customFormat="false" ht="15" hidden="false" customHeight="false" outlineLevel="0" collapsed="false">
      <c r="A147" s="46" t="b">
        <f aca="false">AND(Dates!F147&lt;&gt;"",ROW()&lt;=Settings!$B$13)</f>
        <v>0</v>
      </c>
      <c r="B147" s="1" t="str">
        <f aca="false">IF(NOT(A147),"",IF(Dates!D147&lt;&gt;"",Dates!D147,IF(ROW()=2,"",B146)))</f>
        <v/>
      </c>
      <c r="C147" s="46" t="b">
        <f aca="false">AND(A147,OR(ROW()=2,B147&lt;&gt;B146))</f>
        <v>0</v>
      </c>
      <c r="D147" s="46" t="b">
        <f aca="false">AND(A147,OR(NOT(A148),B148&lt;&gt;B147))</f>
        <v>0</v>
      </c>
      <c r="E147" s="1" t="n">
        <f aca="false">IF(A147,COUNTIF($B$2:$B$261,B147),0)</f>
        <v>0</v>
      </c>
      <c r="F147" s="1" t="str">
        <f aca="false">IF(A147,Dates!J147,"")</f>
        <v/>
      </c>
      <c r="G147" s="46" t="b">
        <f aca="false">AND(A147,OR(C147,F147&lt;&gt;F146))</f>
        <v>0</v>
      </c>
      <c r="H147" s="1" t="n">
        <f aca="false">IF(A147,COUNTIFS($B$2:$B$261,B147,$F$2:$F$261,F147),0)</f>
        <v>0</v>
      </c>
      <c r="I147" s="1" t="str">
        <f aca="false">IF(C147,"\multirow{"&amp;E147&amp;"}{*}{"&amp;B147&amp;"}","")</f>
        <v/>
      </c>
      <c r="J147" s="1" t="str">
        <f aca="false">IF(G147,IF(H147=1,F147,"\multirow{"&amp;H147&amp;"}{*}{"&amp;F147&amp;"}"),"")</f>
        <v/>
      </c>
      <c r="K147" s="1" t="str">
        <f aca="false">IF(A147,TEXT(Dates!K147,"00"),"")</f>
        <v/>
      </c>
      <c r="L147" s="1" t="str">
        <f aca="false">IF(A147,Dates!H147&amp;IF(C147,Settings!$B$2,""),"")</f>
        <v/>
      </c>
      <c r="M147" s="1" t="str">
        <f aca="false">IF(A147,IF(Schedule!I147="","",IF(ISNUMBER(Schedule!I147),IF(Schedule!I147&lt;10,Settings!$B$6&amp;TEXT(Schedule!I147,"#"),Schedule!I147),Schedule!I147)),"")</f>
        <v/>
      </c>
      <c r="N147" s="1" t="str">
        <f aca="false">IF(A147,IF(Schedule!J147="","",Schedule!J147),"")</f>
        <v/>
      </c>
      <c r="O147" s="1" t="str">
        <f aca="false">IF(A147,IF(AND(Settings!$B$14="longtable",NOT(D147)),Settings!$B$15,Settings!$B$3),"")</f>
        <v/>
      </c>
      <c r="P147" s="1" t="str">
        <f aca="false">IF(D147,Settings!$B$4,"")</f>
        <v/>
      </c>
    </row>
    <row r="148" customFormat="false" ht="15" hidden="false" customHeight="false" outlineLevel="0" collapsed="false">
      <c r="A148" s="46" t="b">
        <f aca="false">AND(Dates!F148&lt;&gt;"",ROW()&lt;=Settings!$B$13)</f>
        <v>0</v>
      </c>
      <c r="B148" s="1" t="str">
        <f aca="false">IF(NOT(A148),"",IF(Dates!D148&lt;&gt;"",Dates!D148,IF(ROW()=2,"",B147)))</f>
        <v/>
      </c>
      <c r="C148" s="46" t="b">
        <f aca="false">AND(A148,OR(ROW()=2,B148&lt;&gt;B147))</f>
        <v>0</v>
      </c>
      <c r="D148" s="46" t="b">
        <f aca="false">AND(A148,OR(NOT(A149),B149&lt;&gt;B148))</f>
        <v>0</v>
      </c>
      <c r="E148" s="1" t="n">
        <f aca="false">IF(A148,COUNTIF($B$2:$B$261,B148),0)</f>
        <v>0</v>
      </c>
      <c r="F148" s="1" t="str">
        <f aca="false">IF(A148,Dates!J148,"")</f>
        <v/>
      </c>
      <c r="G148" s="46" t="b">
        <f aca="false">AND(A148,OR(C148,F148&lt;&gt;F147))</f>
        <v>0</v>
      </c>
      <c r="H148" s="1" t="n">
        <f aca="false">IF(A148,COUNTIFS($B$2:$B$261,B148,$F$2:$F$261,F148),0)</f>
        <v>0</v>
      </c>
      <c r="I148" s="1" t="str">
        <f aca="false">IF(C148,"\multirow{"&amp;E148&amp;"}{*}{"&amp;B148&amp;"}","")</f>
        <v/>
      </c>
      <c r="J148" s="1" t="str">
        <f aca="false">IF(G148,IF(H148=1,F148,"\multirow{"&amp;H148&amp;"}{*}{"&amp;F148&amp;"}"),"")</f>
        <v/>
      </c>
      <c r="K148" s="1" t="str">
        <f aca="false">IF(A148,TEXT(Dates!K148,"00"),"")</f>
        <v/>
      </c>
      <c r="L148" s="1" t="str">
        <f aca="false">IF(A148,Dates!H148&amp;IF(C148,Settings!$B$2,""),"")</f>
        <v/>
      </c>
      <c r="M148" s="1" t="str">
        <f aca="false">IF(A148,IF(Schedule!I148="","",IF(ISNUMBER(Schedule!I148),IF(Schedule!I148&lt;10,Settings!$B$6&amp;TEXT(Schedule!I148,"#"),Schedule!I148),Schedule!I148)),"")</f>
        <v/>
      </c>
      <c r="N148" s="1" t="str">
        <f aca="false">IF(A148,IF(Schedule!J148="","",Schedule!J148),"")</f>
        <v/>
      </c>
      <c r="O148" s="1" t="str">
        <f aca="false">IF(A148,IF(AND(Settings!$B$14="longtable",NOT(D148)),Settings!$B$15,Settings!$B$3),"")</f>
        <v/>
      </c>
      <c r="P148" s="1" t="str">
        <f aca="false">IF(D148,Settings!$B$4,"")</f>
        <v/>
      </c>
    </row>
    <row r="149" customFormat="false" ht="15" hidden="false" customHeight="false" outlineLevel="0" collapsed="false">
      <c r="A149" s="46" t="b">
        <f aca="false">AND(Dates!F149&lt;&gt;"",ROW()&lt;=Settings!$B$13)</f>
        <v>0</v>
      </c>
      <c r="B149" s="1" t="str">
        <f aca="false">IF(NOT(A149),"",IF(Dates!D149&lt;&gt;"",Dates!D149,IF(ROW()=2,"",B148)))</f>
        <v/>
      </c>
      <c r="C149" s="46" t="b">
        <f aca="false">AND(A149,OR(ROW()=2,B149&lt;&gt;B148))</f>
        <v>0</v>
      </c>
      <c r="D149" s="46" t="b">
        <f aca="false">AND(A149,OR(NOT(A150),B150&lt;&gt;B149))</f>
        <v>0</v>
      </c>
      <c r="E149" s="1" t="n">
        <f aca="false">IF(A149,COUNTIF($B$2:$B$261,B149),0)</f>
        <v>0</v>
      </c>
      <c r="F149" s="1" t="str">
        <f aca="false">IF(A149,Dates!J149,"")</f>
        <v/>
      </c>
      <c r="G149" s="46" t="b">
        <f aca="false">AND(A149,OR(C149,F149&lt;&gt;F148))</f>
        <v>0</v>
      </c>
      <c r="H149" s="1" t="n">
        <f aca="false">IF(A149,COUNTIFS($B$2:$B$261,B149,$F$2:$F$261,F149),0)</f>
        <v>0</v>
      </c>
      <c r="I149" s="1" t="str">
        <f aca="false">IF(C149,"\multirow{"&amp;E149&amp;"}{*}{"&amp;B149&amp;"}","")</f>
        <v/>
      </c>
      <c r="J149" s="1" t="str">
        <f aca="false">IF(G149,IF(H149=1,F149,"\multirow{"&amp;H149&amp;"}{*}{"&amp;F149&amp;"}"),"")</f>
        <v/>
      </c>
      <c r="K149" s="1" t="str">
        <f aca="false">IF(A149,TEXT(Dates!K149,"00"),"")</f>
        <v/>
      </c>
      <c r="L149" s="1" t="str">
        <f aca="false">IF(A149,Dates!H149&amp;IF(C149,Settings!$B$2,""),"")</f>
        <v/>
      </c>
      <c r="M149" s="1" t="str">
        <f aca="false">IF(A149,IF(Schedule!I149="","",IF(ISNUMBER(Schedule!I149),IF(Schedule!I149&lt;10,Settings!$B$6&amp;TEXT(Schedule!I149,"#"),Schedule!I149),Schedule!I149)),"")</f>
        <v/>
      </c>
      <c r="N149" s="1" t="str">
        <f aca="false">IF(A149,IF(Schedule!J149="","",Schedule!J149),"")</f>
        <v/>
      </c>
      <c r="O149" s="1" t="str">
        <f aca="false">IF(A149,IF(AND(Settings!$B$14="longtable",NOT(D149)),Settings!$B$15,Settings!$B$3),"")</f>
        <v/>
      </c>
      <c r="P149" s="1" t="str">
        <f aca="false">IF(D149,Settings!$B$4,"")</f>
        <v/>
      </c>
    </row>
    <row r="150" customFormat="false" ht="15" hidden="false" customHeight="false" outlineLevel="0" collapsed="false">
      <c r="A150" s="46" t="b">
        <f aca="false">AND(Dates!F150&lt;&gt;"",ROW()&lt;=Settings!$B$13)</f>
        <v>0</v>
      </c>
      <c r="B150" s="1" t="str">
        <f aca="false">IF(NOT(A150),"",IF(Dates!D150&lt;&gt;"",Dates!D150,IF(ROW()=2,"",B149)))</f>
        <v/>
      </c>
      <c r="C150" s="46" t="b">
        <f aca="false">AND(A150,OR(ROW()=2,B150&lt;&gt;B149))</f>
        <v>0</v>
      </c>
      <c r="D150" s="46" t="b">
        <f aca="false">AND(A150,OR(NOT(A151),B151&lt;&gt;B150))</f>
        <v>0</v>
      </c>
      <c r="E150" s="1" t="n">
        <f aca="false">IF(A150,COUNTIF($B$2:$B$261,B150),0)</f>
        <v>0</v>
      </c>
      <c r="F150" s="1" t="str">
        <f aca="false">IF(A150,Dates!J150,"")</f>
        <v/>
      </c>
      <c r="G150" s="46" t="b">
        <f aca="false">AND(A150,OR(C150,F150&lt;&gt;F149))</f>
        <v>0</v>
      </c>
      <c r="H150" s="1" t="n">
        <f aca="false">IF(A150,COUNTIFS($B$2:$B$261,B150,$F$2:$F$261,F150),0)</f>
        <v>0</v>
      </c>
      <c r="I150" s="1" t="str">
        <f aca="false">IF(C150,"\multirow{"&amp;E150&amp;"}{*}{"&amp;B150&amp;"}","")</f>
        <v/>
      </c>
      <c r="J150" s="1" t="str">
        <f aca="false">IF(G150,IF(H150=1,F150,"\multirow{"&amp;H150&amp;"}{*}{"&amp;F150&amp;"}"),"")</f>
        <v/>
      </c>
      <c r="K150" s="1" t="str">
        <f aca="false">IF(A150,TEXT(Dates!K150,"00"),"")</f>
        <v/>
      </c>
      <c r="L150" s="1" t="str">
        <f aca="false">IF(A150,Dates!H150&amp;IF(C150,Settings!$B$2,""),"")</f>
        <v/>
      </c>
      <c r="M150" s="1" t="str">
        <f aca="false">IF(A150,IF(Schedule!I150="","",IF(ISNUMBER(Schedule!I150),IF(Schedule!I150&lt;10,Settings!$B$6&amp;TEXT(Schedule!I150,"#"),Schedule!I150),Schedule!I150)),"")</f>
        <v/>
      </c>
      <c r="N150" s="1" t="str">
        <f aca="false">IF(A150,IF(Schedule!J150="","",Schedule!J150),"")</f>
        <v/>
      </c>
      <c r="O150" s="1" t="str">
        <f aca="false">IF(A150,IF(AND(Settings!$B$14="longtable",NOT(D150)),Settings!$B$15,Settings!$B$3),"")</f>
        <v/>
      </c>
      <c r="P150" s="1" t="str">
        <f aca="false">IF(D150,Settings!$B$4,"")</f>
        <v/>
      </c>
    </row>
    <row r="151" customFormat="false" ht="15" hidden="false" customHeight="false" outlineLevel="0" collapsed="false">
      <c r="A151" s="46" t="b">
        <f aca="false">AND(Dates!F151&lt;&gt;"",ROW()&lt;=Settings!$B$13)</f>
        <v>0</v>
      </c>
      <c r="B151" s="1" t="str">
        <f aca="false">IF(NOT(A151),"",IF(Dates!D151&lt;&gt;"",Dates!D151,IF(ROW()=2,"",B150)))</f>
        <v/>
      </c>
      <c r="C151" s="46" t="b">
        <f aca="false">AND(A151,OR(ROW()=2,B151&lt;&gt;B150))</f>
        <v>0</v>
      </c>
      <c r="D151" s="46" t="b">
        <f aca="false">AND(A151,OR(NOT(A152),B152&lt;&gt;B151))</f>
        <v>0</v>
      </c>
      <c r="E151" s="1" t="n">
        <f aca="false">IF(A151,COUNTIF($B$2:$B$261,B151),0)</f>
        <v>0</v>
      </c>
      <c r="F151" s="1" t="str">
        <f aca="false">IF(A151,Dates!J151,"")</f>
        <v/>
      </c>
      <c r="G151" s="46" t="b">
        <f aca="false">AND(A151,OR(C151,F151&lt;&gt;F150))</f>
        <v>0</v>
      </c>
      <c r="H151" s="1" t="n">
        <f aca="false">IF(A151,COUNTIFS($B$2:$B$261,B151,$F$2:$F$261,F151),0)</f>
        <v>0</v>
      </c>
      <c r="I151" s="1" t="str">
        <f aca="false">IF(C151,"\multirow{"&amp;E151&amp;"}{*}{"&amp;B151&amp;"}","")</f>
        <v/>
      </c>
      <c r="J151" s="1" t="str">
        <f aca="false">IF(G151,IF(H151=1,F151,"\multirow{"&amp;H151&amp;"}{*}{"&amp;F151&amp;"}"),"")</f>
        <v/>
      </c>
      <c r="K151" s="1" t="str">
        <f aca="false">IF(A151,TEXT(Dates!K151,"00"),"")</f>
        <v/>
      </c>
      <c r="L151" s="1" t="str">
        <f aca="false">IF(A151,Dates!H151&amp;IF(C151,Settings!$B$2,""),"")</f>
        <v/>
      </c>
      <c r="M151" s="1" t="str">
        <f aca="false">IF(A151,IF(Schedule!I151="","",IF(ISNUMBER(Schedule!I151),IF(Schedule!I151&lt;10,Settings!$B$6&amp;TEXT(Schedule!I151,"#"),Schedule!I151),Schedule!I151)),"")</f>
        <v/>
      </c>
      <c r="N151" s="1" t="str">
        <f aca="false">IF(A151,IF(Schedule!J151="","",Schedule!J151),"")</f>
        <v/>
      </c>
      <c r="O151" s="1" t="str">
        <f aca="false">IF(A151,IF(AND(Settings!$B$14="longtable",NOT(D151)),Settings!$B$15,Settings!$B$3),"")</f>
        <v/>
      </c>
      <c r="P151" s="1" t="str">
        <f aca="false">IF(D151,Settings!$B$4,"")</f>
        <v/>
      </c>
    </row>
    <row r="152" customFormat="false" ht="15" hidden="false" customHeight="false" outlineLevel="0" collapsed="false">
      <c r="A152" s="46" t="b">
        <f aca="false">AND(Dates!F152&lt;&gt;"",ROW()&lt;=Settings!$B$13)</f>
        <v>0</v>
      </c>
      <c r="B152" s="1" t="str">
        <f aca="false">IF(NOT(A152),"",IF(Dates!D152&lt;&gt;"",Dates!D152,IF(ROW()=2,"",B151)))</f>
        <v/>
      </c>
      <c r="C152" s="46" t="b">
        <f aca="false">AND(A152,OR(ROW()=2,B152&lt;&gt;B151))</f>
        <v>0</v>
      </c>
      <c r="D152" s="46" t="b">
        <f aca="false">AND(A152,OR(NOT(A153),B153&lt;&gt;B152))</f>
        <v>0</v>
      </c>
      <c r="E152" s="1" t="n">
        <f aca="false">IF(A152,COUNTIF($B$2:$B$261,B152),0)</f>
        <v>0</v>
      </c>
      <c r="F152" s="1" t="str">
        <f aca="false">IF(A152,Dates!J152,"")</f>
        <v/>
      </c>
      <c r="G152" s="46" t="b">
        <f aca="false">AND(A152,OR(C152,F152&lt;&gt;F151))</f>
        <v>0</v>
      </c>
      <c r="H152" s="1" t="n">
        <f aca="false">IF(A152,COUNTIFS($B$2:$B$261,B152,$F$2:$F$261,F152),0)</f>
        <v>0</v>
      </c>
      <c r="I152" s="1" t="str">
        <f aca="false">IF(C152,"\multirow{"&amp;E152&amp;"}{*}{"&amp;B152&amp;"}","")</f>
        <v/>
      </c>
      <c r="J152" s="1" t="str">
        <f aca="false">IF(G152,IF(H152=1,F152,"\multirow{"&amp;H152&amp;"}{*}{"&amp;F152&amp;"}"),"")</f>
        <v/>
      </c>
      <c r="K152" s="1" t="str">
        <f aca="false">IF(A152,TEXT(Dates!K152,"00"),"")</f>
        <v/>
      </c>
      <c r="L152" s="1" t="str">
        <f aca="false">IF(A152,Dates!H152&amp;IF(C152,Settings!$B$2,""),"")</f>
        <v/>
      </c>
      <c r="M152" s="1" t="str">
        <f aca="false">IF(A152,IF(Schedule!I152="","",IF(ISNUMBER(Schedule!I152),IF(Schedule!I152&lt;10,Settings!$B$6&amp;TEXT(Schedule!I152,"#"),Schedule!I152),Schedule!I152)),"")</f>
        <v/>
      </c>
      <c r="N152" s="1" t="str">
        <f aca="false">IF(A152,IF(Schedule!J152="","",Schedule!J152),"")</f>
        <v/>
      </c>
      <c r="O152" s="1" t="str">
        <f aca="false">IF(A152,IF(AND(Settings!$B$14="longtable",NOT(D152)),Settings!$B$15,Settings!$B$3),"")</f>
        <v/>
      </c>
      <c r="P152" s="1" t="str">
        <f aca="false">IF(D152,Settings!$B$4,"")</f>
        <v/>
      </c>
    </row>
    <row r="153" customFormat="false" ht="15" hidden="false" customHeight="false" outlineLevel="0" collapsed="false">
      <c r="A153" s="46" t="b">
        <f aca="false">AND(Dates!F153&lt;&gt;"",ROW()&lt;=Settings!$B$13)</f>
        <v>0</v>
      </c>
      <c r="B153" s="1" t="str">
        <f aca="false">IF(NOT(A153),"",IF(Dates!D153&lt;&gt;"",Dates!D153,IF(ROW()=2,"",B152)))</f>
        <v/>
      </c>
      <c r="C153" s="46" t="b">
        <f aca="false">AND(A153,OR(ROW()=2,B153&lt;&gt;B152))</f>
        <v>0</v>
      </c>
      <c r="D153" s="46" t="b">
        <f aca="false">AND(A153,OR(NOT(A154),B154&lt;&gt;B153))</f>
        <v>0</v>
      </c>
      <c r="E153" s="1" t="n">
        <f aca="false">IF(A153,COUNTIF($B$2:$B$261,B153),0)</f>
        <v>0</v>
      </c>
      <c r="F153" s="1" t="str">
        <f aca="false">IF(A153,Dates!J153,"")</f>
        <v/>
      </c>
      <c r="G153" s="46" t="b">
        <f aca="false">AND(A153,OR(C153,F153&lt;&gt;F152))</f>
        <v>0</v>
      </c>
      <c r="H153" s="1" t="n">
        <f aca="false">IF(A153,COUNTIFS($B$2:$B$261,B153,$F$2:$F$261,F153),0)</f>
        <v>0</v>
      </c>
      <c r="I153" s="1" t="str">
        <f aca="false">IF(C153,"\multirow{"&amp;E153&amp;"}{*}{"&amp;B153&amp;"}","")</f>
        <v/>
      </c>
      <c r="J153" s="1" t="str">
        <f aca="false">IF(G153,IF(H153=1,F153,"\multirow{"&amp;H153&amp;"}{*}{"&amp;F153&amp;"}"),"")</f>
        <v/>
      </c>
      <c r="K153" s="1" t="str">
        <f aca="false">IF(A153,TEXT(Dates!K153,"00"),"")</f>
        <v/>
      </c>
      <c r="L153" s="1" t="str">
        <f aca="false">IF(A153,Dates!H153&amp;IF(C153,Settings!$B$2,""),"")</f>
        <v/>
      </c>
      <c r="M153" s="1" t="str">
        <f aca="false">IF(A153,IF(Schedule!I153="","",IF(ISNUMBER(Schedule!I153),IF(Schedule!I153&lt;10,Settings!$B$6&amp;TEXT(Schedule!I153,"#"),Schedule!I153),Schedule!I153)),"")</f>
        <v/>
      </c>
      <c r="N153" s="1" t="str">
        <f aca="false">IF(A153,IF(Schedule!J153="","",Schedule!J153),"")</f>
        <v/>
      </c>
      <c r="O153" s="1" t="str">
        <f aca="false">IF(A153,IF(AND(Settings!$B$14="longtable",NOT(D153)),Settings!$B$15,Settings!$B$3),"")</f>
        <v/>
      </c>
      <c r="P153" s="1" t="str">
        <f aca="false">IF(D153,Settings!$B$4,"")</f>
        <v/>
      </c>
    </row>
    <row r="154" customFormat="false" ht="15" hidden="false" customHeight="false" outlineLevel="0" collapsed="false">
      <c r="A154" s="46" t="b">
        <f aca="false">AND(Dates!F154&lt;&gt;"",ROW()&lt;=Settings!$B$13)</f>
        <v>0</v>
      </c>
      <c r="B154" s="1" t="str">
        <f aca="false">IF(NOT(A154),"",IF(Dates!D154&lt;&gt;"",Dates!D154,IF(ROW()=2,"",B153)))</f>
        <v/>
      </c>
      <c r="C154" s="46" t="b">
        <f aca="false">AND(A154,OR(ROW()=2,B154&lt;&gt;B153))</f>
        <v>0</v>
      </c>
      <c r="D154" s="46" t="b">
        <f aca="false">AND(A154,OR(NOT(A155),B155&lt;&gt;B154))</f>
        <v>0</v>
      </c>
      <c r="E154" s="1" t="n">
        <f aca="false">IF(A154,COUNTIF($B$2:$B$261,B154),0)</f>
        <v>0</v>
      </c>
      <c r="F154" s="1" t="str">
        <f aca="false">IF(A154,Dates!J154,"")</f>
        <v/>
      </c>
      <c r="G154" s="46" t="b">
        <f aca="false">AND(A154,OR(C154,F154&lt;&gt;F153))</f>
        <v>0</v>
      </c>
      <c r="H154" s="1" t="n">
        <f aca="false">IF(A154,COUNTIFS($B$2:$B$261,B154,$F$2:$F$261,F154),0)</f>
        <v>0</v>
      </c>
      <c r="I154" s="1" t="str">
        <f aca="false">IF(C154,"\multirow{"&amp;E154&amp;"}{*}{"&amp;B154&amp;"}","")</f>
        <v/>
      </c>
      <c r="J154" s="1" t="str">
        <f aca="false">IF(G154,IF(H154=1,F154,"\multirow{"&amp;H154&amp;"}{*}{"&amp;F154&amp;"}"),"")</f>
        <v/>
      </c>
      <c r="K154" s="1" t="str">
        <f aca="false">IF(A154,TEXT(Dates!K154,"00"),"")</f>
        <v/>
      </c>
      <c r="L154" s="1" t="str">
        <f aca="false">IF(A154,Dates!H154&amp;IF(C154,Settings!$B$2,""),"")</f>
        <v/>
      </c>
      <c r="M154" s="1" t="str">
        <f aca="false">IF(A154,IF(Schedule!I154="","",IF(ISNUMBER(Schedule!I154),IF(Schedule!I154&lt;10,Settings!$B$6&amp;TEXT(Schedule!I154,"#"),Schedule!I154),Schedule!I154)),"")</f>
        <v/>
      </c>
      <c r="N154" s="1" t="str">
        <f aca="false">IF(A154,IF(Schedule!J154="","",Schedule!J154),"")</f>
        <v/>
      </c>
      <c r="O154" s="1" t="str">
        <f aca="false">IF(A154,IF(AND(Settings!$B$14="longtable",NOT(D154)),Settings!$B$15,Settings!$B$3),"")</f>
        <v/>
      </c>
      <c r="P154" s="1" t="str">
        <f aca="false">IF(D154,Settings!$B$4,"")</f>
        <v/>
      </c>
    </row>
    <row r="155" customFormat="false" ht="15" hidden="false" customHeight="false" outlineLevel="0" collapsed="false">
      <c r="A155" s="46" t="b">
        <f aca="false">AND(Dates!F155&lt;&gt;"",ROW()&lt;=Settings!$B$13)</f>
        <v>0</v>
      </c>
      <c r="B155" s="1" t="str">
        <f aca="false">IF(NOT(A155),"",IF(Dates!D155&lt;&gt;"",Dates!D155,IF(ROW()=2,"",B154)))</f>
        <v/>
      </c>
      <c r="C155" s="46" t="b">
        <f aca="false">AND(A155,OR(ROW()=2,B155&lt;&gt;B154))</f>
        <v>0</v>
      </c>
      <c r="D155" s="46" t="b">
        <f aca="false">AND(A155,OR(NOT(A156),B156&lt;&gt;B155))</f>
        <v>0</v>
      </c>
      <c r="E155" s="1" t="n">
        <f aca="false">IF(A155,COUNTIF($B$2:$B$261,B155),0)</f>
        <v>0</v>
      </c>
      <c r="F155" s="1" t="str">
        <f aca="false">IF(A155,Dates!J155,"")</f>
        <v/>
      </c>
      <c r="G155" s="46" t="b">
        <f aca="false">AND(A155,OR(C155,F155&lt;&gt;F154))</f>
        <v>0</v>
      </c>
      <c r="H155" s="1" t="n">
        <f aca="false">IF(A155,COUNTIFS($B$2:$B$261,B155,$F$2:$F$261,F155),0)</f>
        <v>0</v>
      </c>
      <c r="I155" s="1" t="str">
        <f aca="false">IF(C155,"\multirow{"&amp;E155&amp;"}{*}{"&amp;B155&amp;"}","")</f>
        <v/>
      </c>
      <c r="J155" s="1" t="str">
        <f aca="false">IF(G155,IF(H155=1,F155,"\multirow{"&amp;H155&amp;"}{*}{"&amp;F155&amp;"}"),"")</f>
        <v/>
      </c>
      <c r="K155" s="1" t="str">
        <f aca="false">IF(A155,TEXT(Dates!K155,"00"),"")</f>
        <v/>
      </c>
      <c r="L155" s="1" t="str">
        <f aca="false">IF(A155,Dates!H155&amp;IF(C155,Settings!$B$2,""),"")</f>
        <v/>
      </c>
      <c r="M155" s="1" t="str">
        <f aca="false">IF(A155,IF(Schedule!I155="","",IF(ISNUMBER(Schedule!I155),IF(Schedule!I155&lt;10,Settings!$B$6&amp;TEXT(Schedule!I155,"#"),Schedule!I155),Schedule!I155)),"")</f>
        <v/>
      </c>
      <c r="N155" s="1" t="str">
        <f aca="false">IF(A155,IF(Schedule!J155="","",Schedule!J155),"")</f>
        <v/>
      </c>
      <c r="O155" s="1" t="str">
        <f aca="false">IF(A155,IF(AND(Settings!$B$14="longtable",NOT(D155)),Settings!$B$15,Settings!$B$3),"")</f>
        <v/>
      </c>
      <c r="P155" s="1" t="str">
        <f aca="false">IF(D155,Settings!$B$4,"")</f>
        <v/>
      </c>
    </row>
    <row r="156" customFormat="false" ht="15" hidden="false" customHeight="false" outlineLevel="0" collapsed="false">
      <c r="A156" s="46" t="b">
        <f aca="false">AND(Dates!F156&lt;&gt;"",ROW()&lt;=Settings!$B$13)</f>
        <v>0</v>
      </c>
      <c r="B156" s="1" t="str">
        <f aca="false">IF(NOT(A156),"",IF(Dates!D156&lt;&gt;"",Dates!D156,IF(ROW()=2,"",B155)))</f>
        <v/>
      </c>
      <c r="C156" s="46" t="b">
        <f aca="false">AND(A156,OR(ROW()=2,B156&lt;&gt;B155))</f>
        <v>0</v>
      </c>
      <c r="D156" s="46" t="b">
        <f aca="false">AND(A156,OR(NOT(A157),B157&lt;&gt;B156))</f>
        <v>0</v>
      </c>
      <c r="E156" s="1" t="n">
        <f aca="false">IF(A156,COUNTIF($B$2:$B$261,B156),0)</f>
        <v>0</v>
      </c>
      <c r="F156" s="1" t="str">
        <f aca="false">IF(A156,Dates!J156,"")</f>
        <v/>
      </c>
      <c r="G156" s="46" t="b">
        <f aca="false">AND(A156,OR(C156,F156&lt;&gt;F155))</f>
        <v>0</v>
      </c>
      <c r="H156" s="1" t="n">
        <f aca="false">IF(A156,COUNTIFS($B$2:$B$261,B156,$F$2:$F$261,F156),0)</f>
        <v>0</v>
      </c>
      <c r="I156" s="1" t="str">
        <f aca="false">IF(C156,"\multirow{"&amp;E156&amp;"}{*}{"&amp;B156&amp;"}","")</f>
        <v/>
      </c>
      <c r="J156" s="1" t="str">
        <f aca="false">IF(G156,IF(H156=1,F156,"\multirow{"&amp;H156&amp;"}{*}{"&amp;F156&amp;"}"),"")</f>
        <v/>
      </c>
      <c r="K156" s="1" t="str">
        <f aca="false">IF(A156,TEXT(Dates!K156,"00"),"")</f>
        <v/>
      </c>
      <c r="L156" s="1" t="str">
        <f aca="false">IF(A156,Dates!H156&amp;IF(C156,Settings!$B$2,""),"")</f>
        <v/>
      </c>
      <c r="M156" s="1" t="str">
        <f aca="false">IF(A156,IF(Schedule!I156="","",IF(ISNUMBER(Schedule!I156),IF(Schedule!I156&lt;10,Settings!$B$6&amp;TEXT(Schedule!I156,"#"),Schedule!I156),Schedule!I156)),"")</f>
        <v/>
      </c>
      <c r="N156" s="1" t="str">
        <f aca="false">IF(A156,IF(Schedule!J156="","",Schedule!J156),"")</f>
        <v/>
      </c>
      <c r="O156" s="1" t="str">
        <f aca="false">IF(A156,IF(AND(Settings!$B$14="longtable",NOT(D156)),Settings!$B$15,Settings!$B$3),"")</f>
        <v/>
      </c>
      <c r="P156" s="1" t="str">
        <f aca="false">IF(D156,Settings!$B$4,"")</f>
        <v/>
      </c>
    </row>
    <row r="157" customFormat="false" ht="15" hidden="false" customHeight="false" outlineLevel="0" collapsed="false">
      <c r="A157" s="46" t="b">
        <f aca="false">AND(Dates!F157&lt;&gt;"",ROW()&lt;=Settings!$B$13)</f>
        <v>0</v>
      </c>
      <c r="B157" s="1" t="str">
        <f aca="false">IF(NOT(A157),"",IF(Dates!D157&lt;&gt;"",Dates!D157,IF(ROW()=2,"",B156)))</f>
        <v/>
      </c>
      <c r="C157" s="46" t="b">
        <f aca="false">AND(A157,OR(ROW()=2,B157&lt;&gt;B156))</f>
        <v>0</v>
      </c>
      <c r="D157" s="46" t="b">
        <f aca="false">AND(A157,OR(NOT(A158),B158&lt;&gt;B157))</f>
        <v>0</v>
      </c>
      <c r="E157" s="1" t="n">
        <f aca="false">IF(A157,COUNTIF($B$2:$B$261,B157),0)</f>
        <v>0</v>
      </c>
      <c r="F157" s="1" t="str">
        <f aca="false">IF(A157,Dates!J157,"")</f>
        <v/>
      </c>
      <c r="G157" s="46" t="b">
        <f aca="false">AND(A157,OR(C157,F157&lt;&gt;F156))</f>
        <v>0</v>
      </c>
      <c r="H157" s="1" t="n">
        <f aca="false">IF(A157,COUNTIFS($B$2:$B$261,B157,$F$2:$F$261,F157),0)</f>
        <v>0</v>
      </c>
      <c r="I157" s="1" t="str">
        <f aca="false">IF(C157,"\multirow{"&amp;E157&amp;"}{*}{"&amp;B157&amp;"}","")</f>
        <v/>
      </c>
      <c r="J157" s="1" t="str">
        <f aca="false">IF(G157,IF(H157=1,F157,"\multirow{"&amp;H157&amp;"}{*}{"&amp;F157&amp;"}"),"")</f>
        <v/>
      </c>
      <c r="K157" s="1" t="str">
        <f aca="false">IF(A157,TEXT(Dates!K157,"00"),"")</f>
        <v/>
      </c>
      <c r="L157" s="1" t="str">
        <f aca="false">IF(A157,Dates!H157&amp;IF(C157,Settings!$B$2,""),"")</f>
        <v/>
      </c>
      <c r="M157" s="1" t="str">
        <f aca="false">IF(A157,IF(Schedule!I157="","",IF(ISNUMBER(Schedule!I157),IF(Schedule!I157&lt;10,Settings!$B$6&amp;TEXT(Schedule!I157,"#"),Schedule!I157),Schedule!I157)),"")</f>
        <v/>
      </c>
      <c r="N157" s="1" t="str">
        <f aca="false">IF(A157,IF(Schedule!J157="","",Schedule!J157),"")</f>
        <v/>
      </c>
      <c r="O157" s="1" t="str">
        <f aca="false">IF(A157,IF(AND(Settings!$B$14="longtable",NOT(D157)),Settings!$B$15,Settings!$B$3),"")</f>
        <v/>
      </c>
      <c r="P157" s="1" t="str">
        <f aca="false">IF(D157,Settings!$B$4,"")</f>
        <v/>
      </c>
    </row>
    <row r="158" customFormat="false" ht="15" hidden="false" customHeight="false" outlineLevel="0" collapsed="false">
      <c r="A158" s="46" t="b">
        <f aca="false">AND(Dates!F158&lt;&gt;"",ROW()&lt;=Settings!$B$13)</f>
        <v>0</v>
      </c>
      <c r="B158" s="1" t="str">
        <f aca="false">IF(NOT(A158),"",IF(Dates!D158&lt;&gt;"",Dates!D158,IF(ROW()=2,"",B157)))</f>
        <v/>
      </c>
      <c r="C158" s="46" t="b">
        <f aca="false">AND(A158,OR(ROW()=2,B158&lt;&gt;B157))</f>
        <v>0</v>
      </c>
      <c r="D158" s="46" t="b">
        <f aca="false">AND(A158,OR(NOT(A159),B159&lt;&gt;B158))</f>
        <v>0</v>
      </c>
      <c r="E158" s="1" t="n">
        <f aca="false">IF(A158,COUNTIF($B$2:$B$261,B158),0)</f>
        <v>0</v>
      </c>
      <c r="F158" s="1" t="str">
        <f aca="false">IF(A158,Dates!J158,"")</f>
        <v/>
      </c>
      <c r="G158" s="46" t="b">
        <f aca="false">AND(A158,OR(C158,F158&lt;&gt;F157))</f>
        <v>0</v>
      </c>
      <c r="H158" s="1" t="n">
        <f aca="false">IF(A158,COUNTIFS($B$2:$B$261,B158,$F$2:$F$261,F158),0)</f>
        <v>0</v>
      </c>
      <c r="I158" s="1" t="str">
        <f aca="false">IF(C158,"\multirow{"&amp;E158&amp;"}{*}{"&amp;B158&amp;"}","")</f>
        <v/>
      </c>
      <c r="J158" s="1" t="str">
        <f aca="false">IF(G158,IF(H158=1,F158,"\multirow{"&amp;H158&amp;"}{*}{"&amp;F158&amp;"}"),"")</f>
        <v/>
      </c>
      <c r="K158" s="1" t="str">
        <f aca="false">IF(A158,TEXT(Dates!K158,"00"),"")</f>
        <v/>
      </c>
      <c r="L158" s="1" t="str">
        <f aca="false">IF(A158,Dates!H158&amp;IF(C158,Settings!$B$2,""),"")</f>
        <v/>
      </c>
      <c r="M158" s="1" t="str">
        <f aca="false">IF(A158,IF(Schedule!I158="","",IF(ISNUMBER(Schedule!I158),IF(Schedule!I158&lt;10,Settings!$B$6&amp;TEXT(Schedule!I158,"#"),Schedule!I158),Schedule!I158)),"")</f>
        <v/>
      </c>
      <c r="N158" s="1" t="str">
        <f aca="false">IF(A158,IF(Schedule!J158="","",Schedule!J158),"")</f>
        <v/>
      </c>
      <c r="O158" s="1" t="str">
        <f aca="false">IF(A158,IF(AND(Settings!$B$14="longtable",NOT(D158)),Settings!$B$15,Settings!$B$3),"")</f>
        <v/>
      </c>
      <c r="P158" s="1" t="str">
        <f aca="false">IF(D158,Settings!$B$4,"")</f>
        <v/>
      </c>
    </row>
    <row r="159" customFormat="false" ht="15" hidden="false" customHeight="false" outlineLevel="0" collapsed="false">
      <c r="A159" s="46" t="b">
        <f aca="false">AND(Dates!F159&lt;&gt;"",ROW()&lt;=Settings!$B$13)</f>
        <v>0</v>
      </c>
      <c r="B159" s="1" t="str">
        <f aca="false">IF(NOT(A159),"",IF(Dates!D159&lt;&gt;"",Dates!D159,IF(ROW()=2,"",B158)))</f>
        <v/>
      </c>
      <c r="C159" s="46" t="b">
        <f aca="false">AND(A159,OR(ROW()=2,B159&lt;&gt;B158))</f>
        <v>0</v>
      </c>
      <c r="D159" s="46" t="b">
        <f aca="false">AND(A159,OR(NOT(A160),B160&lt;&gt;B159))</f>
        <v>0</v>
      </c>
      <c r="E159" s="1" t="n">
        <f aca="false">IF(A159,COUNTIF($B$2:$B$261,B159),0)</f>
        <v>0</v>
      </c>
      <c r="F159" s="1" t="str">
        <f aca="false">IF(A159,Dates!J159,"")</f>
        <v/>
      </c>
      <c r="G159" s="46" t="b">
        <f aca="false">AND(A159,OR(C159,F159&lt;&gt;F158))</f>
        <v>0</v>
      </c>
      <c r="H159" s="1" t="n">
        <f aca="false">IF(A159,COUNTIFS($B$2:$B$261,B159,$F$2:$F$261,F159),0)</f>
        <v>0</v>
      </c>
      <c r="I159" s="1" t="str">
        <f aca="false">IF(C159,"\multirow{"&amp;E159&amp;"}{*}{"&amp;B159&amp;"}","")</f>
        <v/>
      </c>
      <c r="J159" s="1" t="str">
        <f aca="false">IF(G159,IF(H159=1,F159,"\multirow{"&amp;H159&amp;"}{*}{"&amp;F159&amp;"}"),"")</f>
        <v/>
      </c>
      <c r="K159" s="1" t="str">
        <f aca="false">IF(A159,TEXT(Dates!K159,"00"),"")</f>
        <v/>
      </c>
      <c r="L159" s="1" t="str">
        <f aca="false">IF(A159,Dates!H159&amp;IF(C159,Settings!$B$2,""),"")</f>
        <v/>
      </c>
      <c r="M159" s="1" t="str">
        <f aca="false">IF(A159,IF(Schedule!I159="","",IF(ISNUMBER(Schedule!I159),IF(Schedule!I159&lt;10,Settings!$B$6&amp;TEXT(Schedule!I159,"#"),Schedule!I159),Schedule!I159)),"")</f>
        <v/>
      </c>
      <c r="N159" s="1" t="str">
        <f aca="false">IF(A159,IF(Schedule!J159="","",Schedule!J159),"")</f>
        <v/>
      </c>
      <c r="O159" s="1" t="str">
        <f aca="false">IF(A159,IF(AND(Settings!$B$14="longtable",NOT(D159)),Settings!$B$15,Settings!$B$3),"")</f>
        <v/>
      </c>
      <c r="P159" s="1" t="str">
        <f aca="false">IF(D159,Settings!$B$4,"")</f>
        <v/>
      </c>
    </row>
    <row r="160" customFormat="false" ht="15" hidden="false" customHeight="false" outlineLevel="0" collapsed="false">
      <c r="A160" s="46" t="b">
        <f aca="false">AND(Dates!F160&lt;&gt;"",ROW()&lt;=Settings!$B$13)</f>
        <v>0</v>
      </c>
      <c r="B160" s="1" t="str">
        <f aca="false">IF(NOT(A160),"",IF(Dates!D160&lt;&gt;"",Dates!D160,IF(ROW()=2,"",B159)))</f>
        <v/>
      </c>
      <c r="C160" s="46" t="b">
        <f aca="false">AND(A160,OR(ROW()=2,B160&lt;&gt;B159))</f>
        <v>0</v>
      </c>
      <c r="D160" s="46" t="b">
        <f aca="false">AND(A160,OR(NOT(A161),B161&lt;&gt;B160))</f>
        <v>0</v>
      </c>
      <c r="E160" s="1" t="n">
        <f aca="false">IF(A160,COUNTIF($B$2:$B$261,B160),0)</f>
        <v>0</v>
      </c>
      <c r="F160" s="1" t="str">
        <f aca="false">IF(A160,Dates!J160,"")</f>
        <v/>
      </c>
      <c r="G160" s="46" t="b">
        <f aca="false">AND(A160,OR(C160,F160&lt;&gt;F159))</f>
        <v>0</v>
      </c>
      <c r="H160" s="1" t="n">
        <f aca="false">IF(A160,COUNTIFS($B$2:$B$261,B160,$F$2:$F$261,F160),0)</f>
        <v>0</v>
      </c>
      <c r="I160" s="1" t="str">
        <f aca="false">IF(C160,"\multirow{"&amp;E160&amp;"}{*}{"&amp;B160&amp;"}","")</f>
        <v/>
      </c>
      <c r="J160" s="1" t="str">
        <f aca="false">IF(G160,IF(H160=1,F160,"\multirow{"&amp;H160&amp;"}{*}{"&amp;F160&amp;"}"),"")</f>
        <v/>
      </c>
      <c r="K160" s="1" t="str">
        <f aca="false">IF(A160,TEXT(Dates!K160,"00"),"")</f>
        <v/>
      </c>
      <c r="L160" s="1" t="str">
        <f aca="false">IF(A160,Dates!H160&amp;IF(C160,Settings!$B$2,""),"")</f>
        <v/>
      </c>
      <c r="M160" s="1" t="str">
        <f aca="false">IF(A160,IF(Schedule!I160="","",IF(ISNUMBER(Schedule!I160),IF(Schedule!I160&lt;10,Settings!$B$6&amp;TEXT(Schedule!I160,"#"),Schedule!I160),Schedule!I160)),"")</f>
        <v/>
      </c>
      <c r="N160" s="1" t="str">
        <f aca="false">IF(A160,IF(Schedule!J160="","",Schedule!J160),"")</f>
        <v/>
      </c>
      <c r="O160" s="1" t="str">
        <f aca="false">IF(A160,IF(AND(Settings!$B$14="longtable",NOT(D160)),Settings!$B$15,Settings!$B$3),"")</f>
        <v/>
      </c>
      <c r="P160" s="1" t="str">
        <f aca="false">IF(D160,Settings!$B$4,"")</f>
        <v/>
      </c>
    </row>
    <row r="161" customFormat="false" ht="15" hidden="false" customHeight="false" outlineLevel="0" collapsed="false">
      <c r="A161" s="46" t="b">
        <f aca="false">AND(Dates!F161&lt;&gt;"",ROW()&lt;=Settings!$B$13)</f>
        <v>0</v>
      </c>
      <c r="B161" s="1" t="str">
        <f aca="false">IF(NOT(A161),"",IF(Dates!D161&lt;&gt;"",Dates!D161,IF(ROW()=2,"",B160)))</f>
        <v/>
      </c>
      <c r="C161" s="46" t="b">
        <f aca="false">AND(A161,OR(ROW()=2,B161&lt;&gt;B160))</f>
        <v>0</v>
      </c>
      <c r="D161" s="46" t="b">
        <f aca="false">AND(A161,OR(NOT(A162),B162&lt;&gt;B161))</f>
        <v>0</v>
      </c>
      <c r="E161" s="1" t="n">
        <f aca="false">IF(A161,COUNTIF($B$2:$B$261,B161),0)</f>
        <v>0</v>
      </c>
      <c r="F161" s="1" t="str">
        <f aca="false">IF(A161,Dates!J161,"")</f>
        <v/>
      </c>
      <c r="G161" s="46" t="b">
        <f aca="false">AND(A161,OR(C161,F161&lt;&gt;F160))</f>
        <v>0</v>
      </c>
      <c r="H161" s="1" t="n">
        <f aca="false">IF(A161,COUNTIFS($B$2:$B$261,B161,$F$2:$F$261,F161),0)</f>
        <v>0</v>
      </c>
      <c r="I161" s="1" t="str">
        <f aca="false">IF(C161,"\multirow{"&amp;E161&amp;"}{*}{"&amp;B161&amp;"}","")</f>
        <v/>
      </c>
      <c r="J161" s="1" t="str">
        <f aca="false">IF(G161,IF(H161=1,F161,"\multirow{"&amp;H161&amp;"}{*}{"&amp;F161&amp;"}"),"")</f>
        <v/>
      </c>
      <c r="K161" s="1" t="str">
        <f aca="false">IF(A161,TEXT(Dates!K161,"00"),"")</f>
        <v/>
      </c>
      <c r="L161" s="1" t="str">
        <f aca="false">IF(A161,Dates!H161&amp;IF(C161,Settings!$B$2,""),"")</f>
        <v/>
      </c>
      <c r="M161" s="1" t="str">
        <f aca="false">IF(A161,IF(Schedule!I161="","",IF(ISNUMBER(Schedule!I161),IF(Schedule!I161&lt;10,Settings!$B$6&amp;TEXT(Schedule!I161,"#"),Schedule!I161),Schedule!I161)),"")</f>
        <v/>
      </c>
      <c r="N161" s="1" t="str">
        <f aca="false">IF(A161,IF(Schedule!J161="","",Schedule!J161),"")</f>
        <v/>
      </c>
      <c r="O161" s="1" t="str">
        <f aca="false">IF(A161,IF(AND(Settings!$B$14="longtable",NOT(D161)),Settings!$B$15,Settings!$B$3),"")</f>
        <v/>
      </c>
      <c r="P161" s="1" t="str">
        <f aca="false">IF(D161,Settings!$B$4,"")</f>
        <v/>
      </c>
    </row>
    <row r="162" customFormat="false" ht="15" hidden="false" customHeight="false" outlineLevel="0" collapsed="false">
      <c r="A162" s="46" t="b">
        <f aca="false">AND(Dates!F162&lt;&gt;"",ROW()&lt;=Settings!$B$13)</f>
        <v>0</v>
      </c>
      <c r="B162" s="1" t="str">
        <f aca="false">IF(NOT(A162),"",IF(Dates!D162&lt;&gt;"",Dates!D162,IF(ROW()=2,"",B161)))</f>
        <v/>
      </c>
      <c r="C162" s="46" t="b">
        <f aca="false">AND(A162,OR(ROW()=2,B162&lt;&gt;B161))</f>
        <v>0</v>
      </c>
      <c r="D162" s="46" t="b">
        <f aca="false">AND(A162,OR(NOT(A163),B163&lt;&gt;B162))</f>
        <v>0</v>
      </c>
      <c r="E162" s="1" t="n">
        <f aca="false">IF(A162,COUNTIF($B$2:$B$261,B162),0)</f>
        <v>0</v>
      </c>
      <c r="F162" s="1" t="str">
        <f aca="false">IF(A162,Dates!J162,"")</f>
        <v/>
      </c>
      <c r="G162" s="46" t="b">
        <f aca="false">AND(A162,OR(C162,F162&lt;&gt;F161))</f>
        <v>0</v>
      </c>
      <c r="H162" s="1" t="n">
        <f aca="false">IF(A162,COUNTIFS($B$2:$B$261,B162,$F$2:$F$261,F162),0)</f>
        <v>0</v>
      </c>
      <c r="I162" s="1" t="str">
        <f aca="false">IF(C162,"\multirow{"&amp;E162&amp;"}{*}{"&amp;B162&amp;"}","")</f>
        <v/>
      </c>
      <c r="J162" s="1" t="str">
        <f aca="false">IF(G162,IF(H162=1,F162,"\multirow{"&amp;H162&amp;"}{*}{"&amp;F162&amp;"}"),"")</f>
        <v/>
      </c>
      <c r="K162" s="1" t="str">
        <f aca="false">IF(A162,TEXT(Dates!K162,"00"),"")</f>
        <v/>
      </c>
      <c r="L162" s="1" t="str">
        <f aca="false">IF(A162,Dates!H162&amp;IF(C162,Settings!$B$2,""),"")</f>
        <v/>
      </c>
      <c r="M162" s="1" t="str">
        <f aca="false">IF(A162,IF(Schedule!I162="","",IF(ISNUMBER(Schedule!I162),IF(Schedule!I162&lt;10,Settings!$B$6&amp;TEXT(Schedule!I162,"#"),Schedule!I162),Schedule!I162)),"")</f>
        <v/>
      </c>
      <c r="N162" s="1" t="str">
        <f aca="false">IF(A162,IF(Schedule!J162="","",Schedule!J162),"")</f>
        <v/>
      </c>
      <c r="O162" s="1" t="str">
        <f aca="false">IF(A162,IF(AND(Settings!$B$14="longtable",NOT(D162)),Settings!$B$15,Settings!$B$3),"")</f>
        <v/>
      </c>
      <c r="P162" s="1" t="str">
        <f aca="false">IF(D162,Settings!$B$4,"")</f>
        <v/>
      </c>
    </row>
    <row r="163" customFormat="false" ht="15" hidden="false" customHeight="false" outlineLevel="0" collapsed="false">
      <c r="A163" s="46" t="b">
        <f aca="false">AND(Dates!F163&lt;&gt;"",ROW()&lt;=Settings!$B$13)</f>
        <v>0</v>
      </c>
      <c r="B163" s="1" t="str">
        <f aca="false">IF(NOT(A163),"",IF(Dates!D163&lt;&gt;"",Dates!D163,IF(ROW()=2,"",B162)))</f>
        <v/>
      </c>
      <c r="C163" s="46" t="b">
        <f aca="false">AND(A163,OR(ROW()=2,B163&lt;&gt;B162))</f>
        <v>0</v>
      </c>
      <c r="D163" s="46" t="b">
        <f aca="false">AND(A163,OR(NOT(A164),B164&lt;&gt;B163))</f>
        <v>0</v>
      </c>
      <c r="E163" s="1" t="n">
        <f aca="false">IF(A163,COUNTIF($B$2:$B$261,B163),0)</f>
        <v>0</v>
      </c>
      <c r="F163" s="1" t="str">
        <f aca="false">IF(A163,Dates!J163,"")</f>
        <v/>
      </c>
      <c r="G163" s="46" t="b">
        <f aca="false">AND(A163,OR(C163,F163&lt;&gt;F162))</f>
        <v>0</v>
      </c>
      <c r="H163" s="1" t="n">
        <f aca="false">IF(A163,COUNTIFS($B$2:$B$261,B163,$F$2:$F$261,F163),0)</f>
        <v>0</v>
      </c>
      <c r="I163" s="1" t="str">
        <f aca="false">IF(C163,"\multirow{"&amp;E163&amp;"}{*}{"&amp;B163&amp;"}","")</f>
        <v/>
      </c>
      <c r="J163" s="1" t="str">
        <f aca="false">IF(G163,IF(H163=1,F163,"\multirow{"&amp;H163&amp;"}{*}{"&amp;F163&amp;"}"),"")</f>
        <v/>
      </c>
      <c r="K163" s="1" t="str">
        <f aca="false">IF(A163,TEXT(Dates!K163,"00"),"")</f>
        <v/>
      </c>
      <c r="L163" s="1" t="str">
        <f aca="false">IF(A163,Dates!H163&amp;IF(C163,Settings!$B$2,""),"")</f>
        <v/>
      </c>
      <c r="M163" s="1" t="str">
        <f aca="false">IF(A163,IF(Schedule!I163="","",IF(ISNUMBER(Schedule!I163),IF(Schedule!I163&lt;10,Settings!$B$6&amp;TEXT(Schedule!I163,"#"),Schedule!I163),Schedule!I163)),"")</f>
        <v/>
      </c>
      <c r="N163" s="1" t="str">
        <f aca="false">IF(A163,IF(Schedule!J163="","",Schedule!J163),"")</f>
        <v/>
      </c>
      <c r="O163" s="1" t="str">
        <f aca="false">IF(A163,IF(AND(Settings!$B$14="longtable",NOT(D163)),Settings!$B$15,Settings!$B$3),"")</f>
        <v/>
      </c>
      <c r="P163" s="1" t="str">
        <f aca="false">IF(D163,Settings!$B$4,"")</f>
        <v/>
      </c>
    </row>
    <row r="164" customFormat="false" ht="15" hidden="false" customHeight="false" outlineLevel="0" collapsed="false">
      <c r="A164" s="46" t="b">
        <f aca="false">AND(Dates!F164&lt;&gt;"",ROW()&lt;=Settings!$B$13)</f>
        <v>0</v>
      </c>
      <c r="B164" s="1" t="str">
        <f aca="false">IF(NOT(A164),"",IF(Dates!D164&lt;&gt;"",Dates!D164,IF(ROW()=2,"",B163)))</f>
        <v/>
      </c>
      <c r="C164" s="46" t="b">
        <f aca="false">AND(A164,OR(ROW()=2,B164&lt;&gt;B163))</f>
        <v>0</v>
      </c>
      <c r="D164" s="46" t="b">
        <f aca="false">AND(A164,OR(NOT(A165),B165&lt;&gt;B164))</f>
        <v>0</v>
      </c>
      <c r="E164" s="1" t="n">
        <f aca="false">IF(A164,COUNTIF($B$2:$B$261,B164),0)</f>
        <v>0</v>
      </c>
      <c r="F164" s="1" t="str">
        <f aca="false">IF(A164,Dates!J164,"")</f>
        <v/>
      </c>
      <c r="G164" s="46" t="b">
        <f aca="false">AND(A164,OR(C164,F164&lt;&gt;F163))</f>
        <v>0</v>
      </c>
      <c r="H164" s="1" t="n">
        <f aca="false">IF(A164,COUNTIFS($B$2:$B$261,B164,$F$2:$F$261,F164),0)</f>
        <v>0</v>
      </c>
      <c r="I164" s="1" t="str">
        <f aca="false">IF(C164,"\multirow{"&amp;E164&amp;"}{*}{"&amp;B164&amp;"}","")</f>
        <v/>
      </c>
      <c r="J164" s="1" t="str">
        <f aca="false">IF(G164,IF(H164=1,F164,"\multirow{"&amp;H164&amp;"}{*}{"&amp;F164&amp;"}"),"")</f>
        <v/>
      </c>
      <c r="K164" s="1" t="str">
        <f aca="false">IF(A164,TEXT(Dates!K164,"00"),"")</f>
        <v/>
      </c>
      <c r="L164" s="1" t="str">
        <f aca="false">IF(A164,Dates!H164&amp;IF(C164,Settings!$B$2,""),"")</f>
        <v/>
      </c>
      <c r="M164" s="1" t="str">
        <f aca="false">IF(A164,IF(Schedule!I164="","",IF(ISNUMBER(Schedule!I164),IF(Schedule!I164&lt;10,Settings!$B$6&amp;TEXT(Schedule!I164,"#"),Schedule!I164),Schedule!I164)),"")</f>
        <v/>
      </c>
      <c r="N164" s="1" t="str">
        <f aca="false">IF(A164,IF(Schedule!J164="","",Schedule!J164),"")</f>
        <v/>
      </c>
      <c r="O164" s="1" t="str">
        <f aca="false">IF(A164,IF(AND(Settings!$B$14="longtable",NOT(D164)),Settings!$B$15,Settings!$B$3),"")</f>
        <v/>
      </c>
      <c r="P164" s="1" t="str">
        <f aca="false">IF(D164,Settings!$B$4,"")</f>
        <v/>
      </c>
    </row>
    <row r="165" customFormat="false" ht="15" hidden="false" customHeight="false" outlineLevel="0" collapsed="false">
      <c r="A165" s="46" t="b">
        <f aca="false">AND(Dates!F165&lt;&gt;"",ROW()&lt;=Settings!$B$13)</f>
        <v>0</v>
      </c>
      <c r="B165" s="1" t="str">
        <f aca="false">IF(NOT(A165),"",IF(Dates!D165&lt;&gt;"",Dates!D165,IF(ROW()=2,"",B164)))</f>
        <v/>
      </c>
      <c r="C165" s="46" t="b">
        <f aca="false">AND(A165,OR(ROW()=2,B165&lt;&gt;B164))</f>
        <v>0</v>
      </c>
      <c r="D165" s="46" t="b">
        <f aca="false">AND(A165,OR(NOT(A166),B166&lt;&gt;B165))</f>
        <v>0</v>
      </c>
      <c r="E165" s="1" t="n">
        <f aca="false">IF(A165,COUNTIF($B$2:$B$261,B165),0)</f>
        <v>0</v>
      </c>
      <c r="F165" s="1" t="str">
        <f aca="false">IF(A165,Dates!J165,"")</f>
        <v/>
      </c>
      <c r="G165" s="46" t="b">
        <f aca="false">AND(A165,OR(C165,F165&lt;&gt;F164))</f>
        <v>0</v>
      </c>
      <c r="H165" s="1" t="n">
        <f aca="false">IF(A165,COUNTIFS($B$2:$B$261,B165,$F$2:$F$261,F165),0)</f>
        <v>0</v>
      </c>
      <c r="I165" s="1" t="str">
        <f aca="false">IF(C165,"\multirow{"&amp;E165&amp;"}{*}{"&amp;B165&amp;"}","")</f>
        <v/>
      </c>
      <c r="J165" s="1" t="str">
        <f aca="false">IF(G165,IF(H165=1,F165,"\multirow{"&amp;H165&amp;"}{*}{"&amp;F165&amp;"}"),"")</f>
        <v/>
      </c>
      <c r="K165" s="1" t="str">
        <f aca="false">IF(A165,TEXT(Dates!K165,"00"),"")</f>
        <v/>
      </c>
      <c r="L165" s="1" t="str">
        <f aca="false">IF(A165,Dates!H165&amp;IF(C165,Settings!$B$2,""),"")</f>
        <v/>
      </c>
      <c r="M165" s="1" t="str">
        <f aca="false">IF(A165,IF(Schedule!I165="","",IF(ISNUMBER(Schedule!I165),IF(Schedule!I165&lt;10,Settings!$B$6&amp;TEXT(Schedule!I165,"#"),Schedule!I165),Schedule!I165)),"")</f>
        <v/>
      </c>
      <c r="N165" s="1" t="str">
        <f aca="false">IF(A165,IF(Schedule!J165="","",Schedule!J165),"")</f>
        <v/>
      </c>
      <c r="O165" s="1" t="str">
        <f aca="false">IF(A165,IF(AND(Settings!$B$14="longtable",NOT(D165)),Settings!$B$15,Settings!$B$3),"")</f>
        <v/>
      </c>
      <c r="P165" s="1" t="str">
        <f aca="false">IF(D165,Settings!$B$4,"")</f>
        <v/>
      </c>
    </row>
    <row r="166" customFormat="false" ht="15" hidden="false" customHeight="false" outlineLevel="0" collapsed="false">
      <c r="A166" s="46" t="b">
        <f aca="false">AND(Dates!F166&lt;&gt;"",ROW()&lt;=Settings!$B$13)</f>
        <v>0</v>
      </c>
      <c r="B166" s="1" t="str">
        <f aca="false">IF(NOT(A166),"",IF(Dates!D166&lt;&gt;"",Dates!D166,IF(ROW()=2,"",B165)))</f>
        <v/>
      </c>
      <c r="C166" s="46" t="b">
        <f aca="false">AND(A166,OR(ROW()=2,B166&lt;&gt;B165))</f>
        <v>0</v>
      </c>
      <c r="D166" s="46" t="b">
        <f aca="false">AND(A166,OR(NOT(A167),B167&lt;&gt;B166))</f>
        <v>0</v>
      </c>
      <c r="E166" s="1" t="n">
        <f aca="false">IF(A166,COUNTIF($B$2:$B$261,B166),0)</f>
        <v>0</v>
      </c>
      <c r="F166" s="1" t="str">
        <f aca="false">IF(A166,Dates!J166,"")</f>
        <v/>
      </c>
      <c r="G166" s="46" t="b">
        <f aca="false">AND(A166,OR(C166,F166&lt;&gt;F165))</f>
        <v>0</v>
      </c>
      <c r="H166" s="1" t="n">
        <f aca="false">IF(A166,COUNTIFS($B$2:$B$261,B166,$F$2:$F$261,F166),0)</f>
        <v>0</v>
      </c>
      <c r="I166" s="1" t="str">
        <f aca="false">IF(C166,"\multirow{"&amp;E166&amp;"}{*}{"&amp;B166&amp;"}","")</f>
        <v/>
      </c>
      <c r="J166" s="1" t="str">
        <f aca="false">IF(G166,IF(H166=1,F166,"\multirow{"&amp;H166&amp;"}{*}{"&amp;F166&amp;"}"),"")</f>
        <v/>
      </c>
      <c r="K166" s="1" t="str">
        <f aca="false">IF(A166,TEXT(Dates!K166,"00"),"")</f>
        <v/>
      </c>
      <c r="L166" s="1" t="str">
        <f aca="false">IF(A166,Dates!H166&amp;IF(C166,Settings!$B$2,""),"")</f>
        <v/>
      </c>
      <c r="M166" s="1" t="str">
        <f aca="false">IF(A166,IF(Schedule!I166="","",IF(ISNUMBER(Schedule!I166),IF(Schedule!I166&lt;10,Settings!$B$6&amp;TEXT(Schedule!I166,"#"),Schedule!I166),Schedule!I166)),"")</f>
        <v/>
      </c>
      <c r="N166" s="1" t="str">
        <f aca="false">IF(A166,IF(Schedule!J166="","",Schedule!J166),"")</f>
        <v/>
      </c>
      <c r="O166" s="1" t="str">
        <f aca="false">IF(A166,IF(AND(Settings!$B$14="longtable",NOT(D166)),Settings!$B$15,Settings!$B$3),"")</f>
        <v/>
      </c>
      <c r="P166" s="1" t="str">
        <f aca="false">IF(D166,Settings!$B$4,"")</f>
        <v/>
      </c>
    </row>
    <row r="167" customFormat="false" ht="15" hidden="false" customHeight="false" outlineLevel="0" collapsed="false">
      <c r="A167" s="46" t="b">
        <f aca="false">AND(Dates!F167&lt;&gt;"",ROW()&lt;=Settings!$B$13)</f>
        <v>0</v>
      </c>
      <c r="B167" s="1" t="str">
        <f aca="false">IF(NOT(A167),"",IF(Dates!D167&lt;&gt;"",Dates!D167,IF(ROW()=2,"",B166)))</f>
        <v/>
      </c>
      <c r="C167" s="46" t="b">
        <f aca="false">AND(A167,OR(ROW()=2,B167&lt;&gt;B166))</f>
        <v>0</v>
      </c>
      <c r="D167" s="46" t="b">
        <f aca="false">AND(A167,OR(NOT(A168),B168&lt;&gt;B167))</f>
        <v>0</v>
      </c>
      <c r="E167" s="1" t="n">
        <f aca="false">IF(A167,COUNTIF($B$2:$B$261,B167),0)</f>
        <v>0</v>
      </c>
      <c r="F167" s="1" t="str">
        <f aca="false">IF(A167,Dates!J167,"")</f>
        <v/>
      </c>
      <c r="G167" s="46" t="b">
        <f aca="false">AND(A167,OR(C167,F167&lt;&gt;F166))</f>
        <v>0</v>
      </c>
      <c r="H167" s="1" t="n">
        <f aca="false">IF(A167,COUNTIFS($B$2:$B$261,B167,$F$2:$F$261,F167),0)</f>
        <v>0</v>
      </c>
      <c r="I167" s="1" t="str">
        <f aca="false">IF(C167,"\multirow{"&amp;E167&amp;"}{*}{"&amp;B167&amp;"}","")</f>
        <v/>
      </c>
      <c r="J167" s="1" t="str">
        <f aca="false">IF(G167,IF(H167=1,F167,"\multirow{"&amp;H167&amp;"}{*}{"&amp;F167&amp;"}"),"")</f>
        <v/>
      </c>
      <c r="K167" s="1" t="str">
        <f aca="false">IF(A167,TEXT(Dates!K167,"00"),"")</f>
        <v/>
      </c>
      <c r="L167" s="1" t="str">
        <f aca="false">IF(A167,Dates!H167&amp;IF(C167,Settings!$B$2,""),"")</f>
        <v/>
      </c>
      <c r="M167" s="1" t="str">
        <f aca="false">IF(A167,IF(Schedule!I167="","",IF(ISNUMBER(Schedule!I167),IF(Schedule!I167&lt;10,Settings!$B$6&amp;TEXT(Schedule!I167,"#"),Schedule!I167),Schedule!I167)),"")</f>
        <v/>
      </c>
      <c r="N167" s="1" t="str">
        <f aca="false">IF(A167,IF(Schedule!J167="","",Schedule!J167),"")</f>
        <v/>
      </c>
      <c r="O167" s="1" t="str">
        <f aca="false">IF(A167,IF(AND(Settings!$B$14="longtable",NOT(D167)),Settings!$B$15,Settings!$B$3),"")</f>
        <v/>
      </c>
      <c r="P167" s="1" t="str">
        <f aca="false">IF(D167,Settings!$B$4,"")</f>
        <v/>
      </c>
    </row>
    <row r="168" customFormat="false" ht="15" hidden="false" customHeight="false" outlineLevel="0" collapsed="false">
      <c r="A168" s="46" t="b">
        <f aca="false">AND(Dates!F168&lt;&gt;"",ROW()&lt;=Settings!$B$13)</f>
        <v>0</v>
      </c>
      <c r="B168" s="1" t="str">
        <f aca="false">IF(NOT(A168),"",IF(Dates!D168&lt;&gt;"",Dates!D168,IF(ROW()=2,"",B167)))</f>
        <v/>
      </c>
      <c r="C168" s="46" t="b">
        <f aca="false">AND(A168,OR(ROW()=2,B168&lt;&gt;B167))</f>
        <v>0</v>
      </c>
      <c r="D168" s="46" t="b">
        <f aca="false">AND(A168,OR(NOT(A169),B169&lt;&gt;B168))</f>
        <v>0</v>
      </c>
      <c r="E168" s="1" t="n">
        <f aca="false">IF(A168,COUNTIF($B$2:$B$261,B168),0)</f>
        <v>0</v>
      </c>
      <c r="F168" s="1" t="str">
        <f aca="false">IF(A168,Dates!J168,"")</f>
        <v/>
      </c>
      <c r="G168" s="46" t="b">
        <f aca="false">AND(A168,OR(C168,F168&lt;&gt;F167))</f>
        <v>0</v>
      </c>
      <c r="H168" s="1" t="n">
        <f aca="false">IF(A168,COUNTIFS($B$2:$B$261,B168,$F$2:$F$261,F168),0)</f>
        <v>0</v>
      </c>
      <c r="I168" s="1" t="str">
        <f aca="false">IF(C168,"\multirow{"&amp;E168&amp;"}{*}{"&amp;B168&amp;"}","")</f>
        <v/>
      </c>
      <c r="J168" s="1" t="str">
        <f aca="false">IF(G168,IF(H168=1,F168,"\multirow{"&amp;H168&amp;"}{*}{"&amp;F168&amp;"}"),"")</f>
        <v/>
      </c>
      <c r="K168" s="1" t="str">
        <f aca="false">IF(A168,TEXT(Dates!K168,"00"),"")</f>
        <v/>
      </c>
      <c r="L168" s="1" t="str">
        <f aca="false">IF(A168,Dates!H168&amp;IF(C168,Settings!$B$2,""),"")</f>
        <v/>
      </c>
      <c r="M168" s="1" t="str">
        <f aca="false">IF(A168,IF(Schedule!I168="","",IF(ISNUMBER(Schedule!I168),IF(Schedule!I168&lt;10,Settings!$B$6&amp;TEXT(Schedule!I168,"#"),Schedule!I168),Schedule!I168)),"")</f>
        <v/>
      </c>
      <c r="N168" s="1" t="str">
        <f aca="false">IF(A168,IF(Schedule!J168="","",Schedule!J168),"")</f>
        <v/>
      </c>
      <c r="O168" s="1" t="str">
        <f aca="false">IF(A168,IF(AND(Settings!$B$14="longtable",NOT(D168)),Settings!$B$15,Settings!$B$3),"")</f>
        <v/>
      </c>
      <c r="P168" s="1" t="str">
        <f aca="false">IF(D168,Settings!$B$4,"")</f>
        <v/>
      </c>
    </row>
    <row r="169" customFormat="false" ht="15" hidden="false" customHeight="false" outlineLevel="0" collapsed="false">
      <c r="A169" s="46" t="b">
        <f aca="false">AND(Dates!F169&lt;&gt;"",ROW()&lt;=Settings!$B$13)</f>
        <v>0</v>
      </c>
      <c r="B169" s="1" t="str">
        <f aca="false">IF(NOT(A169),"",IF(Dates!D169&lt;&gt;"",Dates!D169,IF(ROW()=2,"",B168)))</f>
        <v/>
      </c>
      <c r="C169" s="46" t="b">
        <f aca="false">AND(A169,OR(ROW()=2,B169&lt;&gt;B168))</f>
        <v>0</v>
      </c>
      <c r="D169" s="46" t="b">
        <f aca="false">AND(A169,OR(NOT(A170),B170&lt;&gt;B169))</f>
        <v>0</v>
      </c>
      <c r="E169" s="1" t="n">
        <f aca="false">IF(A169,COUNTIF($B$2:$B$261,B169),0)</f>
        <v>0</v>
      </c>
      <c r="F169" s="1" t="str">
        <f aca="false">IF(A169,Dates!J169,"")</f>
        <v/>
      </c>
      <c r="G169" s="46" t="b">
        <f aca="false">AND(A169,OR(C169,F169&lt;&gt;F168))</f>
        <v>0</v>
      </c>
      <c r="H169" s="1" t="n">
        <f aca="false">IF(A169,COUNTIFS($B$2:$B$261,B169,$F$2:$F$261,F169),0)</f>
        <v>0</v>
      </c>
      <c r="I169" s="1" t="str">
        <f aca="false">IF(C169,"\multirow{"&amp;E169&amp;"}{*}{"&amp;B169&amp;"}","")</f>
        <v/>
      </c>
      <c r="J169" s="1" t="str">
        <f aca="false">IF(G169,IF(H169=1,F169,"\multirow{"&amp;H169&amp;"}{*}{"&amp;F169&amp;"}"),"")</f>
        <v/>
      </c>
      <c r="K169" s="1" t="str">
        <f aca="false">IF(A169,TEXT(Dates!K169,"00"),"")</f>
        <v/>
      </c>
      <c r="L169" s="1" t="str">
        <f aca="false">IF(A169,Dates!H169&amp;IF(C169,Settings!$B$2,""),"")</f>
        <v/>
      </c>
      <c r="M169" s="1" t="str">
        <f aca="false">IF(A169,IF(Schedule!I169="","",IF(ISNUMBER(Schedule!I169),IF(Schedule!I169&lt;10,Settings!$B$6&amp;TEXT(Schedule!I169,"#"),Schedule!I169),Schedule!I169)),"")</f>
        <v/>
      </c>
      <c r="N169" s="1" t="str">
        <f aca="false">IF(A169,IF(Schedule!J169="","",Schedule!J169),"")</f>
        <v/>
      </c>
      <c r="O169" s="1" t="str">
        <f aca="false">IF(A169,IF(AND(Settings!$B$14="longtable",NOT(D169)),Settings!$B$15,Settings!$B$3),"")</f>
        <v/>
      </c>
      <c r="P169" s="1" t="str">
        <f aca="false">IF(D169,Settings!$B$4,"")</f>
        <v/>
      </c>
    </row>
    <row r="170" customFormat="false" ht="15" hidden="false" customHeight="false" outlineLevel="0" collapsed="false">
      <c r="A170" s="46" t="b">
        <f aca="false">AND(Dates!F170&lt;&gt;"",ROW()&lt;=Settings!$B$13)</f>
        <v>0</v>
      </c>
      <c r="B170" s="1" t="str">
        <f aca="false">IF(NOT(A170),"",IF(Dates!D170&lt;&gt;"",Dates!D170,IF(ROW()=2,"",B169)))</f>
        <v/>
      </c>
      <c r="C170" s="46" t="b">
        <f aca="false">AND(A170,OR(ROW()=2,B170&lt;&gt;B169))</f>
        <v>0</v>
      </c>
      <c r="D170" s="46" t="b">
        <f aca="false">AND(A170,OR(NOT(A171),B171&lt;&gt;B170))</f>
        <v>0</v>
      </c>
      <c r="E170" s="1" t="n">
        <f aca="false">IF(A170,COUNTIF($B$2:$B$261,B170),0)</f>
        <v>0</v>
      </c>
      <c r="F170" s="1" t="str">
        <f aca="false">IF(A170,Dates!J170,"")</f>
        <v/>
      </c>
      <c r="G170" s="46" t="b">
        <f aca="false">AND(A170,OR(C170,F170&lt;&gt;F169))</f>
        <v>0</v>
      </c>
      <c r="H170" s="1" t="n">
        <f aca="false">IF(A170,COUNTIFS($B$2:$B$261,B170,$F$2:$F$261,F170),0)</f>
        <v>0</v>
      </c>
      <c r="I170" s="1" t="str">
        <f aca="false">IF(C170,"\multirow{"&amp;E170&amp;"}{*}{"&amp;B170&amp;"}","")</f>
        <v/>
      </c>
      <c r="J170" s="1" t="str">
        <f aca="false">IF(G170,IF(H170=1,F170,"\multirow{"&amp;H170&amp;"}{*}{"&amp;F170&amp;"}"),"")</f>
        <v/>
      </c>
      <c r="K170" s="1" t="str">
        <f aca="false">IF(A170,TEXT(Dates!K170,"00"),"")</f>
        <v/>
      </c>
      <c r="L170" s="1" t="str">
        <f aca="false">IF(A170,Dates!H170&amp;IF(C170,Settings!$B$2,""),"")</f>
        <v/>
      </c>
      <c r="M170" s="1" t="str">
        <f aca="false">IF(A170,IF(Schedule!I170="","",IF(ISNUMBER(Schedule!I170),IF(Schedule!I170&lt;10,Settings!$B$6&amp;TEXT(Schedule!I170,"#"),Schedule!I170),Schedule!I170)),"")</f>
        <v/>
      </c>
      <c r="N170" s="1" t="str">
        <f aca="false">IF(A170,IF(Schedule!J170="","",Schedule!J170),"")</f>
        <v/>
      </c>
      <c r="O170" s="1" t="str">
        <f aca="false">IF(A170,IF(AND(Settings!$B$14="longtable",NOT(D170)),Settings!$B$15,Settings!$B$3),"")</f>
        <v/>
      </c>
      <c r="P170" s="1" t="str">
        <f aca="false">IF(D170,Settings!$B$4,"")</f>
        <v/>
      </c>
    </row>
    <row r="171" customFormat="false" ht="15" hidden="false" customHeight="false" outlineLevel="0" collapsed="false">
      <c r="A171" s="46" t="b">
        <f aca="false">AND(Dates!F171&lt;&gt;"",ROW()&lt;=Settings!$B$13)</f>
        <v>0</v>
      </c>
      <c r="B171" s="1" t="str">
        <f aca="false">IF(NOT(A171),"",IF(Dates!D171&lt;&gt;"",Dates!D171,IF(ROW()=2,"",B170)))</f>
        <v/>
      </c>
      <c r="C171" s="46" t="b">
        <f aca="false">AND(A171,OR(ROW()=2,B171&lt;&gt;B170))</f>
        <v>0</v>
      </c>
      <c r="D171" s="46" t="b">
        <f aca="false">AND(A171,OR(NOT(A172),B172&lt;&gt;B171))</f>
        <v>0</v>
      </c>
      <c r="E171" s="1" t="n">
        <f aca="false">IF(A171,COUNTIF($B$2:$B$261,B171),0)</f>
        <v>0</v>
      </c>
      <c r="F171" s="1" t="str">
        <f aca="false">IF(A171,Dates!J171,"")</f>
        <v/>
      </c>
      <c r="G171" s="46" t="b">
        <f aca="false">AND(A171,OR(C171,F171&lt;&gt;F170))</f>
        <v>0</v>
      </c>
      <c r="H171" s="1" t="n">
        <f aca="false">IF(A171,COUNTIFS($B$2:$B$261,B171,$F$2:$F$261,F171),0)</f>
        <v>0</v>
      </c>
      <c r="I171" s="1" t="str">
        <f aca="false">IF(C171,"\multirow{"&amp;E171&amp;"}{*}{"&amp;B171&amp;"}","")</f>
        <v/>
      </c>
      <c r="J171" s="1" t="str">
        <f aca="false">IF(G171,IF(H171=1,F171,"\multirow{"&amp;H171&amp;"}{*}{"&amp;F171&amp;"}"),"")</f>
        <v/>
      </c>
      <c r="K171" s="1" t="str">
        <f aca="false">IF(A171,TEXT(Dates!K171,"00"),"")</f>
        <v/>
      </c>
      <c r="L171" s="1" t="str">
        <f aca="false">IF(A171,Dates!H171&amp;IF(C171,Settings!$B$2,""),"")</f>
        <v/>
      </c>
      <c r="M171" s="1" t="str">
        <f aca="false">IF(A171,IF(Schedule!I171="","",IF(ISNUMBER(Schedule!I171),IF(Schedule!I171&lt;10,Settings!$B$6&amp;TEXT(Schedule!I171,"#"),Schedule!I171),Schedule!I171)),"")</f>
        <v/>
      </c>
      <c r="N171" s="1" t="str">
        <f aca="false">IF(A171,IF(Schedule!J171="","",Schedule!J171),"")</f>
        <v/>
      </c>
      <c r="O171" s="1" t="str">
        <f aca="false">IF(A171,IF(AND(Settings!$B$14="longtable",NOT(D171)),Settings!$B$15,Settings!$B$3),"")</f>
        <v/>
      </c>
      <c r="P171" s="1" t="str">
        <f aca="false">IF(D171,Settings!$B$4,"")</f>
        <v/>
      </c>
    </row>
    <row r="172" customFormat="false" ht="15" hidden="false" customHeight="false" outlineLevel="0" collapsed="false">
      <c r="A172" s="46" t="b">
        <f aca="false">AND(Dates!F172&lt;&gt;"",ROW()&lt;=Settings!$B$13)</f>
        <v>0</v>
      </c>
      <c r="B172" s="1" t="str">
        <f aca="false">IF(NOT(A172),"",IF(Dates!D172&lt;&gt;"",Dates!D172,IF(ROW()=2,"",B171)))</f>
        <v/>
      </c>
      <c r="C172" s="46" t="b">
        <f aca="false">AND(A172,OR(ROW()=2,B172&lt;&gt;B171))</f>
        <v>0</v>
      </c>
      <c r="D172" s="46" t="b">
        <f aca="false">AND(A172,OR(NOT(A173),B173&lt;&gt;B172))</f>
        <v>0</v>
      </c>
      <c r="E172" s="1" t="n">
        <f aca="false">IF(A172,COUNTIF($B$2:$B$261,B172),0)</f>
        <v>0</v>
      </c>
      <c r="F172" s="1" t="str">
        <f aca="false">IF(A172,Dates!J172,"")</f>
        <v/>
      </c>
      <c r="G172" s="46" t="b">
        <f aca="false">AND(A172,OR(C172,F172&lt;&gt;F171))</f>
        <v>0</v>
      </c>
      <c r="H172" s="1" t="n">
        <f aca="false">IF(A172,COUNTIFS($B$2:$B$261,B172,$F$2:$F$261,F172),0)</f>
        <v>0</v>
      </c>
      <c r="I172" s="1" t="str">
        <f aca="false">IF(C172,"\multirow{"&amp;E172&amp;"}{*}{"&amp;B172&amp;"}","")</f>
        <v/>
      </c>
      <c r="J172" s="1" t="str">
        <f aca="false">IF(G172,IF(H172=1,F172,"\multirow{"&amp;H172&amp;"}{*}{"&amp;F172&amp;"}"),"")</f>
        <v/>
      </c>
      <c r="K172" s="1" t="str">
        <f aca="false">IF(A172,TEXT(Dates!K172,"00"),"")</f>
        <v/>
      </c>
      <c r="L172" s="1" t="str">
        <f aca="false">IF(A172,Dates!H172&amp;IF(C172,Settings!$B$2,""),"")</f>
        <v/>
      </c>
      <c r="M172" s="1" t="str">
        <f aca="false">IF(A172,IF(Schedule!I172="","",IF(ISNUMBER(Schedule!I172),IF(Schedule!I172&lt;10,Settings!$B$6&amp;TEXT(Schedule!I172,"#"),Schedule!I172),Schedule!I172)),"")</f>
        <v/>
      </c>
      <c r="N172" s="1" t="str">
        <f aca="false">IF(A172,IF(Schedule!J172="","",Schedule!J172),"")</f>
        <v/>
      </c>
      <c r="O172" s="1" t="str">
        <f aca="false">IF(A172,IF(AND(Settings!$B$14="longtable",NOT(D172)),Settings!$B$15,Settings!$B$3),"")</f>
        <v/>
      </c>
      <c r="P172" s="1" t="str">
        <f aca="false">IF(D172,Settings!$B$4,"")</f>
        <v/>
      </c>
    </row>
    <row r="173" customFormat="false" ht="15" hidden="false" customHeight="false" outlineLevel="0" collapsed="false">
      <c r="A173" s="46" t="b">
        <f aca="false">AND(Dates!F173&lt;&gt;"",ROW()&lt;=Settings!$B$13)</f>
        <v>0</v>
      </c>
      <c r="B173" s="1" t="str">
        <f aca="false">IF(NOT(A173),"",IF(Dates!D173&lt;&gt;"",Dates!D173,IF(ROW()=2,"",B172)))</f>
        <v/>
      </c>
      <c r="C173" s="46" t="b">
        <f aca="false">AND(A173,OR(ROW()=2,B173&lt;&gt;B172))</f>
        <v>0</v>
      </c>
      <c r="D173" s="46" t="b">
        <f aca="false">AND(A173,OR(NOT(A174),B174&lt;&gt;B173))</f>
        <v>0</v>
      </c>
      <c r="E173" s="1" t="n">
        <f aca="false">IF(A173,COUNTIF($B$2:$B$261,B173),0)</f>
        <v>0</v>
      </c>
      <c r="F173" s="1" t="str">
        <f aca="false">IF(A173,Dates!J173,"")</f>
        <v/>
      </c>
      <c r="G173" s="46" t="b">
        <f aca="false">AND(A173,OR(C173,F173&lt;&gt;F172))</f>
        <v>0</v>
      </c>
      <c r="H173" s="1" t="n">
        <f aca="false">IF(A173,COUNTIFS($B$2:$B$261,B173,$F$2:$F$261,F173),0)</f>
        <v>0</v>
      </c>
      <c r="I173" s="1" t="str">
        <f aca="false">IF(C173,"\multirow{"&amp;E173&amp;"}{*}{"&amp;B173&amp;"}","")</f>
        <v/>
      </c>
      <c r="J173" s="1" t="str">
        <f aca="false">IF(G173,IF(H173=1,F173,"\multirow{"&amp;H173&amp;"}{*}{"&amp;F173&amp;"}"),"")</f>
        <v/>
      </c>
      <c r="K173" s="1" t="str">
        <f aca="false">IF(A173,TEXT(Dates!K173,"00"),"")</f>
        <v/>
      </c>
      <c r="L173" s="1" t="str">
        <f aca="false">IF(A173,Dates!H173&amp;IF(C173,Settings!$B$2,""),"")</f>
        <v/>
      </c>
      <c r="M173" s="1" t="str">
        <f aca="false">IF(A173,IF(Schedule!I173="","",IF(ISNUMBER(Schedule!I173),IF(Schedule!I173&lt;10,Settings!$B$6&amp;TEXT(Schedule!I173,"#"),Schedule!I173),Schedule!I173)),"")</f>
        <v/>
      </c>
      <c r="N173" s="1" t="str">
        <f aca="false">IF(A173,IF(Schedule!J173="","",Schedule!J173),"")</f>
        <v/>
      </c>
      <c r="O173" s="1" t="str">
        <f aca="false">IF(A173,IF(AND(Settings!$B$14="longtable",NOT(D173)),Settings!$B$15,Settings!$B$3),"")</f>
        <v/>
      </c>
      <c r="P173" s="1" t="str">
        <f aca="false">IF(D173,Settings!$B$4,"")</f>
        <v/>
      </c>
    </row>
    <row r="174" customFormat="false" ht="15" hidden="false" customHeight="false" outlineLevel="0" collapsed="false">
      <c r="A174" s="46" t="b">
        <f aca="false">AND(Dates!F174&lt;&gt;"",ROW()&lt;=Settings!$B$13)</f>
        <v>0</v>
      </c>
      <c r="B174" s="1" t="str">
        <f aca="false">IF(NOT(A174),"",IF(Dates!D174&lt;&gt;"",Dates!D174,IF(ROW()=2,"",B173)))</f>
        <v/>
      </c>
      <c r="C174" s="46" t="b">
        <f aca="false">AND(A174,OR(ROW()=2,B174&lt;&gt;B173))</f>
        <v>0</v>
      </c>
      <c r="D174" s="46" t="b">
        <f aca="false">AND(A174,OR(NOT(A175),B175&lt;&gt;B174))</f>
        <v>0</v>
      </c>
      <c r="E174" s="1" t="n">
        <f aca="false">IF(A174,COUNTIF($B$2:$B$261,B174),0)</f>
        <v>0</v>
      </c>
      <c r="F174" s="1" t="str">
        <f aca="false">IF(A174,Dates!J174,"")</f>
        <v/>
      </c>
      <c r="G174" s="46" t="b">
        <f aca="false">AND(A174,OR(C174,F174&lt;&gt;F173))</f>
        <v>0</v>
      </c>
      <c r="H174" s="1" t="n">
        <f aca="false">IF(A174,COUNTIFS($B$2:$B$261,B174,$F$2:$F$261,F174),0)</f>
        <v>0</v>
      </c>
      <c r="I174" s="1" t="str">
        <f aca="false">IF(C174,"\multirow{"&amp;E174&amp;"}{*}{"&amp;B174&amp;"}","")</f>
        <v/>
      </c>
      <c r="J174" s="1" t="str">
        <f aca="false">IF(G174,IF(H174=1,F174,"\multirow{"&amp;H174&amp;"}{*}{"&amp;F174&amp;"}"),"")</f>
        <v/>
      </c>
      <c r="K174" s="1" t="str">
        <f aca="false">IF(A174,TEXT(Dates!K174,"00"),"")</f>
        <v/>
      </c>
      <c r="L174" s="1" t="str">
        <f aca="false">IF(A174,Dates!H174&amp;IF(C174,Settings!$B$2,""),"")</f>
        <v/>
      </c>
      <c r="M174" s="1" t="str">
        <f aca="false">IF(A174,IF(Schedule!I174="","",IF(ISNUMBER(Schedule!I174),IF(Schedule!I174&lt;10,Settings!$B$6&amp;TEXT(Schedule!I174,"#"),Schedule!I174),Schedule!I174)),"")</f>
        <v/>
      </c>
      <c r="N174" s="1" t="str">
        <f aca="false">IF(A174,IF(Schedule!J174="","",Schedule!J174),"")</f>
        <v/>
      </c>
      <c r="O174" s="1" t="str">
        <f aca="false">IF(A174,IF(AND(Settings!$B$14="longtable",NOT(D174)),Settings!$B$15,Settings!$B$3),"")</f>
        <v/>
      </c>
      <c r="P174" s="1" t="str">
        <f aca="false">IF(D174,Settings!$B$4,"")</f>
        <v/>
      </c>
    </row>
    <row r="175" customFormat="false" ht="15" hidden="false" customHeight="false" outlineLevel="0" collapsed="false">
      <c r="A175" s="46" t="b">
        <f aca="false">AND(Dates!F175&lt;&gt;"",ROW()&lt;=Settings!$B$13)</f>
        <v>0</v>
      </c>
      <c r="B175" s="1" t="str">
        <f aca="false">IF(NOT(A175),"",IF(Dates!D175&lt;&gt;"",Dates!D175,IF(ROW()=2,"",B174)))</f>
        <v/>
      </c>
      <c r="C175" s="46" t="b">
        <f aca="false">AND(A175,OR(ROW()=2,B175&lt;&gt;B174))</f>
        <v>0</v>
      </c>
      <c r="D175" s="46" t="b">
        <f aca="false">AND(A175,OR(NOT(A176),B176&lt;&gt;B175))</f>
        <v>0</v>
      </c>
      <c r="E175" s="1" t="n">
        <f aca="false">IF(A175,COUNTIF($B$2:$B$261,B175),0)</f>
        <v>0</v>
      </c>
      <c r="F175" s="1" t="str">
        <f aca="false">IF(A175,Dates!J175,"")</f>
        <v/>
      </c>
      <c r="G175" s="46" t="b">
        <f aca="false">AND(A175,OR(C175,F175&lt;&gt;F174))</f>
        <v>0</v>
      </c>
      <c r="H175" s="1" t="n">
        <f aca="false">IF(A175,COUNTIFS($B$2:$B$261,B175,$F$2:$F$261,F175),0)</f>
        <v>0</v>
      </c>
      <c r="I175" s="1" t="str">
        <f aca="false">IF(C175,"\multirow{"&amp;E175&amp;"}{*}{"&amp;B175&amp;"}","")</f>
        <v/>
      </c>
      <c r="J175" s="1" t="str">
        <f aca="false">IF(G175,IF(H175=1,F175,"\multirow{"&amp;H175&amp;"}{*}{"&amp;F175&amp;"}"),"")</f>
        <v/>
      </c>
      <c r="K175" s="1" t="str">
        <f aca="false">IF(A175,TEXT(Dates!K175,"00"),"")</f>
        <v/>
      </c>
      <c r="L175" s="1" t="str">
        <f aca="false">IF(A175,Dates!H175&amp;IF(C175,Settings!$B$2,""),"")</f>
        <v/>
      </c>
      <c r="M175" s="1" t="str">
        <f aca="false">IF(A175,IF(Schedule!I175="","",IF(ISNUMBER(Schedule!I175),IF(Schedule!I175&lt;10,Settings!$B$6&amp;TEXT(Schedule!I175,"#"),Schedule!I175),Schedule!I175)),"")</f>
        <v/>
      </c>
      <c r="N175" s="1" t="str">
        <f aca="false">IF(A175,IF(Schedule!J175="","",Schedule!J175),"")</f>
        <v/>
      </c>
      <c r="O175" s="1" t="str">
        <f aca="false">IF(A175,IF(AND(Settings!$B$14="longtable",NOT(D175)),Settings!$B$15,Settings!$B$3),"")</f>
        <v/>
      </c>
      <c r="P175" s="1" t="str">
        <f aca="false">IF(D175,Settings!$B$4,"")</f>
        <v/>
      </c>
    </row>
    <row r="176" customFormat="false" ht="15" hidden="false" customHeight="false" outlineLevel="0" collapsed="false">
      <c r="A176" s="46" t="b">
        <f aca="false">AND(Dates!F176&lt;&gt;"",ROW()&lt;=Settings!$B$13)</f>
        <v>0</v>
      </c>
      <c r="B176" s="1" t="str">
        <f aca="false">IF(NOT(A176),"",IF(Dates!D176&lt;&gt;"",Dates!D176,IF(ROW()=2,"",B175)))</f>
        <v/>
      </c>
      <c r="C176" s="46" t="b">
        <f aca="false">AND(A176,OR(ROW()=2,B176&lt;&gt;B175))</f>
        <v>0</v>
      </c>
      <c r="D176" s="46" t="b">
        <f aca="false">AND(A176,OR(NOT(A177),B177&lt;&gt;B176))</f>
        <v>0</v>
      </c>
      <c r="E176" s="1" t="n">
        <f aca="false">IF(A176,COUNTIF($B$2:$B$261,B176),0)</f>
        <v>0</v>
      </c>
      <c r="F176" s="1" t="str">
        <f aca="false">IF(A176,Dates!J176,"")</f>
        <v/>
      </c>
      <c r="G176" s="46" t="b">
        <f aca="false">AND(A176,OR(C176,F176&lt;&gt;F175))</f>
        <v>0</v>
      </c>
      <c r="H176" s="1" t="n">
        <f aca="false">IF(A176,COUNTIFS($B$2:$B$261,B176,$F$2:$F$261,F176),0)</f>
        <v>0</v>
      </c>
      <c r="I176" s="1" t="str">
        <f aca="false">IF(C176,"\multirow{"&amp;E176&amp;"}{*}{"&amp;B176&amp;"}","")</f>
        <v/>
      </c>
      <c r="J176" s="1" t="str">
        <f aca="false">IF(G176,IF(H176=1,F176,"\multirow{"&amp;H176&amp;"}{*}{"&amp;F176&amp;"}"),"")</f>
        <v/>
      </c>
      <c r="K176" s="1" t="str">
        <f aca="false">IF(A176,TEXT(Dates!K176,"00"),"")</f>
        <v/>
      </c>
      <c r="L176" s="1" t="str">
        <f aca="false">IF(A176,Dates!H176&amp;IF(C176,Settings!$B$2,""),"")</f>
        <v/>
      </c>
      <c r="M176" s="1" t="str">
        <f aca="false">IF(A176,IF(Schedule!I176="","",IF(ISNUMBER(Schedule!I176),IF(Schedule!I176&lt;10,Settings!$B$6&amp;TEXT(Schedule!I176,"#"),Schedule!I176),Schedule!I176)),"")</f>
        <v/>
      </c>
      <c r="N176" s="1" t="str">
        <f aca="false">IF(A176,IF(Schedule!J176="","",Schedule!J176),"")</f>
        <v/>
      </c>
      <c r="O176" s="1" t="str">
        <f aca="false">IF(A176,IF(AND(Settings!$B$14="longtable",NOT(D176)),Settings!$B$15,Settings!$B$3),"")</f>
        <v/>
      </c>
      <c r="P176" s="1" t="str">
        <f aca="false">IF(D176,Settings!$B$4,"")</f>
        <v/>
      </c>
    </row>
    <row r="177" customFormat="false" ht="15" hidden="false" customHeight="false" outlineLevel="0" collapsed="false">
      <c r="A177" s="46" t="b">
        <f aca="false">AND(Dates!F177&lt;&gt;"",ROW()&lt;=Settings!$B$13)</f>
        <v>0</v>
      </c>
      <c r="B177" s="1" t="str">
        <f aca="false">IF(NOT(A177),"",IF(Dates!D177&lt;&gt;"",Dates!D177,IF(ROW()=2,"",B176)))</f>
        <v/>
      </c>
      <c r="C177" s="46" t="b">
        <f aca="false">AND(A177,OR(ROW()=2,B177&lt;&gt;B176))</f>
        <v>0</v>
      </c>
      <c r="D177" s="46" t="b">
        <f aca="false">AND(A177,OR(NOT(A178),B178&lt;&gt;B177))</f>
        <v>0</v>
      </c>
      <c r="E177" s="1" t="n">
        <f aca="false">IF(A177,COUNTIF($B$2:$B$261,B177),0)</f>
        <v>0</v>
      </c>
      <c r="F177" s="1" t="str">
        <f aca="false">IF(A177,Dates!J177,"")</f>
        <v/>
      </c>
      <c r="G177" s="46" t="b">
        <f aca="false">AND(A177,OR(C177,F177&lt;&gt;F176))</f>
        <v>0</v>
      </c>
      <c r="H177" s="1" t="n">
        <f aca="false">IF(A177,COUNTIFS($B$2:$B$261,B177,$F$2:$F$261,F177),0)</f>
        <v>0</v>
      </c>
      <c r="I177" s="1" t="str">
        <f aca="false">IF(C177,"\multirow{"&amp;E177&amp;"}{*}{"&amp;B177&amp;"}","")</f>
        <v/>
      </c>
      <c r="J177" s="1" t="str">
        <f aca="false">IF(G177,IF(H177=1,F177,"\multirow{"&amp;H177&amp;"}{*}{"&amp;F177&amp;"}"),"")</f>
        <v/>
      </c>
      <c r="K177" s="1" t="str">
        <f aca="false">IF(A177,TEXT(Dates!K177,"00"),"")</f>
        <v/>
      </c>
      <c r="L177" s="1" t="str">
        <f aca="false">IF(A177,Dates!H177&amp;IF(C177,Settings!$B$2,""),"")</f>
        <v/>
      </c>
      <c r="M177" s="1" t="str">
        <f aca="false">IF(A177,IF(Schedule!I177="","",IF(ISNUMBER(Schedule!I177),IF(Schedule!I177&lt;10,Settings!$B$6&amp;TEXT(Schedule!I177,"#"),Schedule!I177),Schedule!I177)),"")</f>
        <v/>
      </c>
      <c r="N177" s="1" t="str">
        <f aca="false">IF(A177,IF(Schedule!J177="","",Schedule!J177),"")</f>
        <v/>
      </c>
      <c r="O177" s="1" t="str">
        <f aca="false">IF(A177,IF(AND(Settings!$B$14="longtable",NOT(D177)),Settings!$B$15,Settings!$B$3),"")</f>
        <v/>
      </c>
      <c r="P177" s="1" t="str">
        <f aca="false">IF(D177,Settings!$B$4,"")</f>
        <v/>
      </c>
    </row>
    <row r="178" customFormat="false" ht="15" hidden="false" customHeight="false" outlineLevel="0" collapsed="false">
      <c r="A178" s="46" t="b">
        <f aca="false">AND(Dates!F178&lt;&gt;"",ROW()&lt;=Settings!$B$13)</f>
        <v>0</v>
      </c>
      <c r="B178" s="1" t="str">
        <f aca="false">IF(NOT(A178),"",IF(Dates!D178&lt;&gt;"",Dates!D178,IF(ROW()=2,"",B177)))</f>
        <v/>
      </c>
      <c r="C178" s="46" t="b">
        <f aca="false">AND(A178,OR(ROW()=2,B178&lt;&gt;B177))</f>
        <v>0</v>
      </c>
      <c r="D178" s="46" t="b">
        <f aca="false">AND(A178,OR(NOT(A179),B179&lt;&gt;B178))</f>
        <v>0</v>
      </c>
      <c r="E178" s="1" t="n">
        <f aca="false">IF(A178,COUNTIF($B$2:$B$261,B178),0)</f>
        <v>0</v>
      </c>
      <c r="F178" s="1" t="str">
        <f aca="false">IF(A178,Dates!J178,"")</f>
        <v/>
      </c>
      <c r="G178" s="46" t="b">
        <f aca="false">AND(A178,OR(C178,F178&lt;&gt;F177))</f>
        <v>0</v>
      </c>
      <c r="H178" s="1" t="n">
        <f aca="false">IF(A178,COUNTIFS($B$2:$B$261,B178,$F$2:$F$261,F178),0)</f>
        <v>0</v>
      </c>
      <c r="I178" s="1" t="str">
        <f aca="false">IF(C178,"\multirow{"&amp;E178&amp;"}{*}{"&amp;B178&amp;"}","")</f>
        <v/>
      </c>
      <c r="J178" s="1" t="str">
        <f aca="false">IF(G178,IF(H178=1,F178,"\multirow{"&amp;H178&amp;"}{*}{"&amp;F178&amp;"}"),"")</f>
        <v/>
      </c>
      <c r="K178" s="1" t="str">
        <f aca="false">IF(A178,TEXT(Dates!K178,"00"),"")</f>
        <v/>
      </c>
      <c r="L178" s="1" t="str">
        <f aca="false">IF(A178,Dates!H178&amp;IF(C178,Settings!$B$2,""),"")</f>
        <v/>
      </c>
      <c r="M178" s="1" t="str">
        <f aca="false">IF(A178,IF(Schedule!I178="","",IF(ISNUMBER(Schedule!I178),IF(Schedule!I178&lt;10,Settings!$B$6&amp;TEXT(Schedule!I178,"#"),Schedule!I178),Schedule!I178)),"")</f>
        <v/>
      </c>
      <c r="N178" s="1" t="str">
        <f aca="false">IF(A178,IF(Schedule!J178="","",Schedule!J178),"")</f>
        <v/>
      </c>
      <c r="O178" s="1" t="str">
        <f aca="false">IF(A178,IF(AND(Settings!$B$14="longtable",NOT(D178)),Settings!$B$15,Settings!$B$3),"")</f>
        <v/>
      </c>
      <c r="P178" s="1" t="str">
        <f aca="false">IF(D178,Settings!$B$4,"")</f>
        <v/>
      </c>
    </row>
    <row r="179" customFormat="false" ht="15" hidden="false" customHeight="false" outlineLevel="0" collapsed="false">
      <c r="A179" s="46" t="b">
        <f aca="false">AND(Dates!F179&lt;&gt;"",ROW()&lt;=Settings!$B$13)</f>
        <v>0</v>
      </c>
      <c r="B179" s="1" t="str">
        <f aca="false">IF(NOT(A179),"",IF(Dates!D179&lt;&gt;"",Dates!D179,IF(ROW()=2,"",B178)))</f>
        <v/>
      </c>
      <c r="C179" s="46" t="b">
        <f aca="false">AND(A179,OR(ROW()=2,B179&lt;&gt;B178))</f>
        <v>0</v>
      </c>
      <c r="D179" s="46" t="b">
        <f aca="false">AND(A179,OR(NOT(A180),B180&lt;&gt;B179))</f>
        <v>0</v>
      </c>
      <c r="E179" s="1" t="n">
        <f aca="false">IF(A179,COUNTIF($B$2:$B$261,B179),0)</f>
        <v>0</v>
      </c>
      <c r="F179" s="1" t="str">
        <f aca="false">IF(A179,Dates!J179,"")</f>
        <v/>
      </c>
      <c r="G179" s="46" t="b">
        <f aca="false">AND(A179,OR(C179,F179&lt;&gt;F178))</f>
        <v>0</v>
      </c>
      <c r="H179" s="1" t="n">
        <f aca="false">IF(A179,COUNTIFS($B$2:$B$261,B179,$F$2:$F$261,F179),0)</f>
        <v>0</v>
      </c>
      <c r="I179" s="1" t="str">
        <f aca="false">IF(C179,"\multirow{"&amp;E179&amp;"}{*}{"&amp;B179&amp;"}","")</f>
        <v/>
      </c>
      <c r="J179" s="1" t="str">
        <f aca="false">IF(G179,IF(H179=1,F179,"\multirow{"&amp;H179&amp;"}{*}{"&amp;F179&amp;"}"),"")</f>
        <v/>
      </c>
      <c r="K179" s="1" t="str">
        <f aca="false">IF(A179,TEXT(Dates!K179,"00"),"")</f>
        <v/>
      </c>
      <c r="L179" s="1" t="str">
        <f aca="false">IF(A179,Dates!H179&amp;IF(C179,Settings!$B$2,""),"")</f>
        <v/>
      </c>
      <c r="M179" s="1" t="str">
        <f aca="false">IF(A179,IF(Schedule!I179="","",IF(ISNUMBER(Schedule!I179),IF(Schedule!I179&lt;10,Settings!$B$6&amp;TEXT(Schedule!I179,"#"),Schedule!I179),Schedule!I179)),"")</f>
        <v/>
      </c>
      <c r="N179" s="1" t="str">
        <f aca="false">IF(A179,IF(Schedule!J179="","",Schedule!J179),"")</f>
        <v/>
      </c>
      <c r="O179" s="1" t="str">
        <f aca="false">IF(A179,IF(AND(Settings!$B$14="longtable",NOT(D179)),Settings!$B$15,Settings!$B$3),"")</f>
        <v/>
      </c>
      <c r="P179" s="1" t="str">
        <f aca="false">IF(D179,Settings!$B$4,"")</f>
        <v/>
      </c>
    </row>
    <row r="180" customFormat="false" ht="15" hidden="false" customHeight="false" outlineLevel="0" collapsed="false">
      <c r="A180" s="46" t="b">
        <f aca="false">AND(Dates!F180&lt;&gt;"",ROW()&lt;=Settings!$B$13)</f>
        <v>0</v>
      </c>
      <c r="B180" s="1" t="str">
        <f aca="false">IF(NOT(A180),"",IF(Dates!D180&lt;&gt;"",Dates!D180,IF(ROW()=2,"",B179)))</f>
        <v/>
      </c>
      <c r="C180" s="46" t="b">
        <f aca="false">AND(A180,OR(ROW()=2,B180&lt;&gt;B179))</f>
        <v>0</v>
      </c>
      <c r="D180" s="46" t="b">
        <f aca="false">AND(A180,OR(NOT(A181),B181&lt;&gt;B180))</f>
        <v>0</v>
      </c>
      <c r="E180" s="1" t="n">
        <f aca="false">IF(A180,COUNTIF($B$2:$B$261,B180),0)</f>
        <v>0</v>
      </c>
      <c r="F180" s="1" t="str">
        <f aca="false">IF(A180,Dates!J180,"")</f>
        <v/>
      </c>
      <c r="G180" s="46" t="b">
        <f aca="false">AND(A180,OR(C180,F180&lt;&gt;F179))</f>
        <v>0</v>
      </c>
      <c r="H180" s="1" t="n">
        <f aca="false">IF(A180,COUNTIFS($B$2:$B$261,B180,$F$2:$F$261,F180),0)</f>
        <v>0</v>
      </c>
      <c r="I180" s="1" t="str">
        <f aca="false">IF(C180,"\multirow{"&amp;E180&amp;"}{*}{"&amp;B180&amp;"}","")</f>
        <v/>
      </c>
      <c r="J180" s="1" t="str">
        <f aca="false">IF(G180,IF(H180=1,F180,"\multirow{"&amp;H180&amp;"}{*}{"&amp;F180&amp;"}"),"")</f>
        <v/>
      </c>
      <c r="K180" s="1" t="str">
        <f aca="false">IF(A180,TEXT(Dates!K180,"00"),"")</f>
        <v/>
      </c>
      <c r="L180" s="1" t="str">
        <f aca="false">IF(A180,Dates!H180&amp;IF(C180,Settings!$B$2,""),"")</f>
        <v/>
      </c>
      <c r="M180" s="1" t="str">
        <f aca="false">IF(A180,IF(Schedule!I180="","",IF(ISNUMBER(Schedule!I180),IF(Schedule!I180&lt;10,Settings!$B$6&amp;TEXT(Schedule!I180,"#"),Schedule!I180),Schedule!I180)),"")</f>
        <v/>
      </c>
      <c r="N180" s="1" t="str">
        <f aca="false">IF(A180,IF(Schedule!J180="","",Schedule!J180),"")</f>
        <v/>
      </c>
      <c r="O180" s="1" t="str">
        <f aca="false">IF(A180,IF(AND(Settings!$B$14="longtable",NOT(D180)),Settings!$B$15,Settings!$B$3),"")</f>
        <v/>
      </c>
      <c r="P180" s="1" t="str">
        <f aca="false">IF(D180,Settings!$B$4,"")</f>
        <v/>
      </c>
    </row>
    <row r="181" customFormat="false" ht="15" hidden="false" customHeight="false" outlineLevel="0" collapsed="false">
      <c r="A181" s="46" t="b">
        <f aca="false">AND(Dates!F181&lt;&gt;"",ROW()&lt;=Settings!$B$13)</f>
        <v>0</v>
      </c>
      <c r="B181" s="1" t="str">
        <f aca="false">IF(NOT(A181),"",IF(Dates!D181&lt;&gt;"",Dates!D181,IF(ROW()=2,"",B180)))</f>
        <v/>
      </c>
      <c r="C181" s="46" t="b">
        <f aca="false">AND(A181,OR(ROW()=2,B181&lt;&gt;B180))</f>
        <v>0</v>
      </c>
      <c r="D181" s="46" t="b">
        <f aca="false">AND(A181,OR(NOT(A182),B182&lt;&gt;B181))</f>
        <v>0</v>
      </c>
      <c r="E181" s="1" t="n">
        <f aca="false">IF(A181,COUNTIF($B$2:$B$261,B181),0)</f>
        <v>0</v>
      </c>
      <c r="F181" s="1" t="str">
        <f aca="false">IF(A181,Dates!J181,"")</f>
        <v/>
      </c>
      <c r="G181" s="46" t="b">
        <f aca="false">AND(A181,OR(C181,F181&lt;&gt;F180))</f>
        <v>0</v>
      </c>
      <c r="H181" s="1" t="n">
        <f aca="false">IF(A181,COUNTIFS($B$2:$B$261,B181,$F$2:$F$261,F181),0)</f>
        <v>0</v>
      </c>
      <c r="I181" s="1" t="str">
        <f aca="false">IF(C181,"\multirow{"&amp;E181&amp;"}{*}{"&amp;B181&amp;"}","")</f>
        <v/>
      </c>
      <c r="J181" s="1" t="str">
        <f aca="false">IF(G181,IF(H181=1,F181,"\multirow{"&amp;H181&amp;"}{*}{"&amp;F181&amp;"}"),"")</f>
        <v/>
      </c>
      <c r="K181" s="1" t="str">
        <f aca="false">IF(A181,TEXT(Dates!K181,"00"),"")</f>
        <v/>
      </c>
      <c r="L181" s="1" t="str">
        <f aca="false">IF(A181,Dates!H181&amp;IF(C181,Settings!$B$2,""),"")</f>
        <v/>
      </c>
      <c r="M181" s="1" t="str">
        <f aca="false">IF(A181,IF(Schedule!I181="","",IF(ISNUMBER(Schedule!I181),IF(Schedule!I181&lt;10,Settings!$B$6&amp;TEXT(Schedule!I181,"#"),Schedule!I181),Schedule!I181)),"")</f>
        <v/>
      </c>
      <c r="N181" s="1" t="str">
        <f aca="false">IF(A181,IF(Schedule!J181="","",Schedule!J181),"")</f>
        <v/>
      </c>
      <c r="O181" s="1" t="str">
        <f aca="false">IF(A181,IF(AND(Settings!$B$14="longtable",NOT(D181)),Settings!$B$15,Settings!$B$3),"")</f>
        <v/>
      </c>
      <c r="P181" s="1" t="str">
        <f aca="false">IF(D181,Settings!$B$4,"")</f>
        <v/>
      </c>
    </row>
    <row r="182" customFormat="false" ht="15" hidden="false" customHeight="false" outlineLevel="0" collapsed="false">
      <c r="A182" s="46" t="b">
        <f aca="false">AND(Dates!F182&lt;&gt;"",ROW()&lt;=Settings!$B$13)</f>
        <v>0</v>
      </c>
      <c r="B182" s="1" t="str">
        <f aca="false">IF(NOT(A182),"",IF(Dates!D182&lt;&gt;"",Dates!D182,IF(ROW()=2,"",B181)))</f>
        <v/>
      </c>
      <c r="C182" s="46" t="b">
        <f aca="false">AND(A182,OR(ROW()=2,B182&lt;&gt;B181))</f>
        <v>0</v>
      </c>
      <c r="D182" s="46" t="b">
        <f aca="false">AND(A182,OR(NOT(A183),B183&lt;&gt;B182))</f>
        <v>0</v>
      </c>
      <c r="E182" s="1" t="n">
        <f aca="false">IF(A182,COUNTIF($B$2:$B$261,B182),0)</f>
        <v>0</v>
      </c>
      <c r="F182" s="1" t="str">
        <f aca="false">IF(A182,Dates!J182,"")</f>
        <v/>
      </c>
      <c r="G182" s="46" t="b">
        <f aca="false">AND(A182,OR(C182,F182&lt;&gt;F181))</f>
        <v>0</v>
      </c>
      <c r="H182" s="1" t="n">
        <f aca="false">IF(A182,COUNTIFS($B$2:$B$261,B182,$F$2:$F$261,F182),0)</f>
        <v>0</v>
      </c>
      <c r="I182" s="1" t="str">
        <f aca="false">IF(C182,"\multirow{"&amp;E182&amp;"}{*}{"&amp;B182&amp;"}","")</f>
        <v/>
      </c>
      <c r="J182" s="1" t="str">
        <f aca="false">IF(G182,IF(H182=1,F182,"\multirow{"&amp;H182&amp;"}{*}{"&amp;F182&amp;"}"),"")</f>
        <v/>
      </c>
      <c r="K182" s="1" t="str">
        <f aca="false">IF(A182,TEXT(Dates!K182,"00"),"")</f>
        <v/>
      </c>
      <c r="L182" s="1" t="str">
        <f aca="false">IF(A182,Dates!H182&amp;IF(C182,Settings!$B$2,""),"")</f>
        <v/>
      </c>
      <c r="M182" s="1" t="str">
        <f aca="false">IF(A182,IF(Schedule!I182="","",IF(ISNUMBER(Schedule!I182),IF(Schedule!I182&lt;10,Settings!$B$6&amp;TEXT(Schedule!I182,"#"),Schedule!I182),Schedule!I182)),"")</f>
        <v/>
      </c>
      <c r="N182" s="1" t="str">
        <f aca="false">IF(A182,IF(Schedule!J182="","",Schedule!J182),"")</f>
        <v/>
      </c>
      <c r="O182" s="1" t="str">
        <f aca="false">IF(A182,IF(AND(Settings!$B$14="longtable",NOT(D182)),Settings!$B$15,Settings!$B$3),"")</f>
        <v/>
      </c>
      <c r="P182" s="1" t="str">
        <f aca="false">IF(D182,Settings!$B$4,"")</f>
        <v/>
      </c>
    </row>
    <row r="183" customFormat="false" ht="15" hidden="false" customHeight="false" outlineLevel="0" collapsed="false">
      <c r="A183" s="46" t="b">
        <f aca="false">AND(Dates!F183&lt;&gt;"",ROW()&lt;=Settings!$B$13)</f>
        <v>0</v>
      </c>
      <c r="B183" s="1" t="str">
        <f aca="false">IF(NOT(A183),"",IF(Dates!D183&lt;&gt;"",Dates!D183,IF(ROW()=2,"",B182)))</f>
        <v/>
      </c>
      <c r="C183" s="46" t="b">
        <f aca="false">AND(A183,OR(ROW()=2,B183&lt;&gt;B182))</f>
        <v>0</v>
      </c>
      <c r="D183" s="46" t="b">
        <f aca="false">AND(A183,OR(NOT(A184),B184&lt;&gt;B183))</f>
        <v>0</v>
      </c>
      <c r="E183" s="1" t="n">
        <f aca="false">IF(A183,COUNTIF($B$2:$B$261,B183),0)</f>
        <v>0</v>
      </c>
      <c r="F183" s="1" t="str">
        <f aca="false">IF(A183,Dates!J183,"")</f>
        <v/>
      </c>
      <c r="G183" s="46" t="b">
        <f aca="false">AND(A183,OR(C183,F183&lt;&gt;F182))</f>
        <v>0</v>
      </c>
      <c r="H183" s="1" t="n">
        <f aca="false">IF(A183,COUNTIFS($B$2:$B$261,B183,$F$2:$F$261,F183),0)</f>
        <v>0</v>
      </c>
      <c r="I183" s="1" t="str">
        <f aca="false">IF(C183,"\multirow{"&amp;E183&amp;"}{*}{"&amp;B183&amp;"}","")</f>
        <v/>
      </c>
      <c r="J183" s="1" t="str">
        <f aca="false">IF(G183,IF(H183=1,F183,"\multirow{"&amp;H183&amp;"}{*}{"&amp;F183&amp;"}"),"")</f>
        <v/>
      </c>
      <c r="K183" s="1" t="str">
        <f aca="false">IF(A183,TEXT(Dates!K183,"00"),"")</f>
        <v/>
      </c>
      <c r="L183" s="1" t="str">
        <f aca="false">IF(A183,Dates!H183&amp;IF(C183,Settings!$B$2,""),"")</f>
        <v/>
      </c>
      <c r="M183" s="1" t="str">
        <f aca="false">IF(A183,IF(Schedule!I183="","",IF(ISNUMBER(Schedule!I183),IF(Schedule!I183&lt;10,Settings!$B$6&amp;TEXT(Schedule!I183,"#"),Schedule!I183),Schedule!I183)),"")</f>
        <v/>
      </c>
      <c r="N183" s="1" t="str">
        <f aca="false">IF(A183,IF(Schedule!J183="","",Schedule!J183),"")</f>
        <v/>
      </c>
      <c r="O183" s="1" t="str">
        <f aca="false">IF(A183,IF(AND(Settings!$B$14="longtable",NOT(D183)),Settings!$B$15,Settings!$B$3),"")</f>
        <v/>
      </c>
      <c r="P183" s="1" t="str">
        <f aca="false">IF(D183,Settings!$B$4,"")</f>
        <v/>
      </c>
    </row>
    <row r="184" customFormat="false" ht="15" hidden="false" customHeight="false" outlineLevel="0" collapsed="false">
      <c r="A184" s="46" t="b">
        <f aca="false">AND(Dates!F184&lt;&gt;"",ROW()&lt;=Settings!$B$13)</f>
        <v>0</v>
      </c>
      <c r="B184" s="1" t="str">
        <f aca="false">IF(NOT(A184),"",IF(Dates!D184&lt;&gt;"",Dates!D184,IF(ROW()=2,"",B183)))</f>
        <v/>
      </c>
      <c r="C184" s="46" t="b">
        <f aca="false">AND(A184,OR(ROW()=2,B184&lt;&gt;B183))</f>
        <v>0</v>
      </c>
      <c r="D184" s="46" t="b">
        <f aca="false">AND(A184,OR(NOT(A185),B185&lt;&gt;B184))</f>
        <v>0</v>
      </c>
      <c r="E184" s="1" t="n">
        <f aca="false">IF(A184,COUNTIF($B$2:$B$261,B184),0)</f>
        <v>0</v>
      </c>
      <c r="F184" s="1" t="str">
        <f aca="false">IF(A184,Dates!J184,"")</f>
        <v/>
      </c>
      <c r="G184" s="46" t="b">
        <f aca="false">AND(A184,OR(C184,F184&lt;&gt;F183))</f>
        <v>0</v>
      </c>
      <c r="H184" s="1" t="n">
        <f aca="false">IF(A184,COUNTIFS($B$2:$B$261,B184,$F$2:$F$261,F184),0)</f>
        <v>0</v>
      </c>
      <c r="I184" s="1" t="str">
        <f aca="false">IF(C184,"\multirow{"&amp;E184&amp;"}{*}{"&amp;B184&amp;"}","")</f>
        <v/>
      </c>
      <c r="J184" s="1" t="str">
        <f aca="false">IF(G184,IF(H184=1,F184,"\multirow{"&amp;H184&amp;"}{*}{"&amp;F184&amp;"}"),"")</f>
        <v/>
      </c>
      <c r="K184" s="1" t="str">
        <f aca="false">IF(A184,TEXT(Dates!K184,"00"),"")</f>
        <v/>
      </c>
      <c r="L184" s="1" t="str">
        <f aca="false">IF(A184,Dates!H184&amp;IF(C184,Settings!$B$2,""),"")</f>
        <v/>
      </c>
      <c r="M184" s="1" t="str">
        <f aca="false">IF(A184,IF(Schedule!I184="","",IF(ISNUMBER(Schedule!I184),IF(Schedule!I184&lt;10,Settings!$B$6&amp;TEXT(Schedule!I184,"#"),Schedule!I184),Schedule!I184)),"")</f>
        <v/>
      </c>
      <c r="N184" s="1" t="str">
        <f aca="false">IF(A184,IF(Schedule!J184="","",Schedule!J184),"")</f>
        <v/>
      </c>
      <c r="O184" s="1" t="str">
        <f aca="false">IF(A184,IF(AND(Settings!$B$14="longtable",NOT(D184)),Settings!$B$15,Settings!$B$3),"")</f>
        <v/>
      </c>
      <c r="P184" s="1" t="str">
        <f aca="false">IF(D184,Settings!$B$4,"")</f>
        <v/>
      </c>
    </row>
    <row r="185" customFormat="false" ht="15" hidden="false" customHeight="false" outlineLevel="0" collapsed="false">
      <c r="A185" s="46" t="b">
        <f aca="false">AND(Dates!F185&lt;&gt;"",ROW()&lt;=Settings!$B$13)</f>
        <v>0</v>
      </c>
      <c r="B185" s="1" t="str">
        <f aca="false">IF(NOT(A185),"",IF(Dates!D185&lt;&gt;"",Dates!D185,IF(ROW()=2,"",B184)))</f>
        <v/>
      </c>
      <c r="C185" s="46" t="b">
        <f aca="false">AND(A185,OR(ROW()=2,B185&lt;&gt;B184))</f>
        <v>0</v>
      </c>
      <c r="D185" s="46" t="b">
        <f aca="false">AND(A185,OR(NOT(A186),B186&lt;&gt;B185))</f>
        <v>0</v>
      </c>
      <c r="E185" s="1" t="n">
        <f aca="false">IF(A185,COUNTIF($B$2:$B$261,B185),0)</f>
        <v>0</v>
      </c>
      <c r="F185" s="1" t="str">
        <f aca="false">IF(A185,Dates!J185,"")</f>
        <v/>
      </c>
      <c r="G185" s="46" t="b">
        <f aca="false">AND(A185,OR(C185,F185&lt;&gt;F184))</f>
        <v>0</v>
      </c>
      <c r="H185" s="1" t="n">
        <f aca="false">IF(A185,COUNTIFS($B$2:$B$261,B185,$F$2:$F$261,F185),0)</f>
        <v>0</v>
      </c>
      <c r="I185" s="1" t="str">
        <f aca="false">IF(C185,"\multirow{"&amp;E185&amp;"}{*}{"&amp;B185&amp;"}","")</f>
        <v/>
      </c>
      <c r="J185" s="1" t="str">
        <f aca="false">IF(G185,IF(H185=1,F185,"\multirow{"&amp;H185&amp;"}{*}{"&amp;F185&amp;"}"),"")</f>
        <v/>
      </c>
      <c r="K185" s="1" t="str">
        <f aca="false">IF(A185,TEXT(Dates!K185,"00"),"")</f>
        <v/>
      </c>
      <c r="L185" s="1" t="str">
        <f aca="false">IF(A185,Dates!H185&amp;IF(C185,Settings!$B$2,""),"")</f>
        <v/>
      </c>
      <c r="M185" s="1" t="str">
        <f aca="false">IF(A185,IF(Schedule!I185="","",IF(ISNUMBER(Schedule!I185),IF(Schedule!I185&lt;10,Settings!$B$6&amp;TEXT(Schedule!I185,"#"),Schedule!I185),Schedule!I185)),"")</f>
        <v/>
      </c>
      <c r="N185" s="1" t="str">
        <f aca="false">IF(A185,IF(Schedule!J185="","",Schedule!J185),"")</f>
        <v/>
      </c>
      <c r="O185" s="1" t="str">
        <f aca="false">IF(A185,IF(AND(Settings!$B$14="longtable",NOT(D185)),Settings!$B$15,Settings!$B$3),"")</f>
        <v/>
      </c>
      <c r="P185" s="1" t="str">
        <f aca="false">IF(D185,Settings!$B$4,"")</f>
        <v/>
      </c>
    </row>
    <row r="186" customFormat="false" ht="15" hidden="false" customHeight="false" outlineLevel="0" collapsed="false">
      <c r="A186" s="46" t="b">
        <f aca="false">AND(Dates!F186&lt;&gt;"",ROW()&lt;=Settings!$B$13)</f>
        <v>0</v>
      </c>
      <c r="B186" s="1" t="str">
        <f aca="false">IF(NOT(A186),"",IF(Dates!D186&lt;&gt;"",Dates!D186,IF(ROW()=2,"",B185)))</f>
        <v/>
      </c>
      <c r="C186" s="46" t="b">
        <f aca="false">AND(A186,OR(ROW()=2,B186&lt;&gt;B185))</f>
        <v>0</v>
      </c>
      <c r="D186" s="46" t="b">
        <f aca="false">AND(A186,OR(NOT(A187),B187&lt;&gt;B186))</f>
        <v>0</v>
      </c>
      <c r="E186" s="1" t="n">
        <f aca="false">IF(A186,COUNTIF($B$2:$B$261,B186),0)</f>
        <v>0</v>
      </c>
      <c r="F186" s="1" t="str">
        <f aca="false">IF(A186,Dates!J186,"")</f>
        <v/>
      </c>
      <c r="G186" s="46" t="b">
        <f aca="false">AND(A186,OR(C186,F186&lt;&gt;F185))</f>
        <v>0</v>
      </c>
      <c r="H186" s="1" t="n">
        <f aca="false">IF(A186,COUNTIFS($B$2:$B$261,B186,$F$2:$F$261,F186),0)</f>
        <v>0</v>
      </c>
      <c r="I186" s="1" t="str">
        <f aca="false">IF(C186,"\multirow{"&amp;E186&amp;"}{*}{"&amp;B186&amp;"}","")</f>
        <v/>
      </c>
      <c r="J186" s="1" t="str">
        <f aca="false">IF(G186,IF(H186=1,F186,"\multirow{"&amp;H186&amp;"}{*}{"&amp;F186&amp;"}"),"")</f>
        <v/>
      </c>
      <c r="K186" s="1" t="str">
        <f aca="false">IF(A186,TEXT(Dates!K186,"00"),"")</f>
        <v/>
      </c>
      <c r="L186" s="1" t="str">
        <f aca="false">IF(A186,Dates!H186&amp;IF(C186,Settings!$B$2,""),"")</f>
        <v/>
      </c>
      <c r="M186" s="1" t="str">
        <f aca="false">IF(A186,IF(Schedule!I186="","",IF(ISNUMBER(Schedule!I186),IF(Schedule!I186&lt;10,Settings!$B$6&amp;TEXT(Schedule!I186,"#"),Schedule!I186),Schedule!I186)),"")</f>
        <v/>
      </c>
      <c r="N186" s="1" t="str">
        <f aca="false">IF(A186,IF(Schedule!J186="","",Schedule!J186),"")</f>
        <v/>
      </c>
      <c r="O186" s="1" t="str">
        <f aca="false">IF(A186,IF(AND(Settings!$B$14="longtable",NOT(D186)),Settings!$B$15,Settings!$B$3),"")</f>
        <v/>
      </c>
      <c r="P186" s="1" t="str">
        <f aca="false">IF(D186,Settings!$B$4,"")</f>
        <v/>
      </c>
    </row>
    <row r="187" customFormat="false" ht="15" hidden="false" customHeight="false" outlineLevel="0" collapsed="false">
      <c r="A187" s="46" t="b">
        <f aca="false">AND(Dates!F187&lt;&gt;"",ROW()&lt;=Settings!$B$13)</f>
        <v>0</v>
      </c>
      <c r="B187" s="1" t="str">
        <f aca="false">IF(NOT(A187),"",IF(Dates!D187&lt;&gt;"",Dates!D187,IF(ROW()=2,"",B186)))</f>
        <v/>
      </c>
      <c r="C187" s="46" t="b">
        <f aca="false">AND(A187,OR(ROW()=2,B187&lt;&gt;B186))</f>
        <v>0</v>
      </c>
      <c r="D187" s="46" t="b">
        <f aca="false">AND(A187,OR(NOT(A188),B188&lt;&gt;B187))</f>
        <v>0</v>
      </c>
      <c r="E187" s="1" t="n">
        <f aca="false">IF(A187,COUNTIF($B$2:$B$261,B187),0)</f>
        <v>0</v>
      </c>
      <c r="F187" s="1" t="str">
        <f aca="false">IF(A187,Dates!J187,"")</f>
        <v/>
      </c>
      <c r="G187" s="46" t="b">
        <f aca="false">AND(A187,OR(C187,F187&lt;&gt;F186))</f>
        <v>0</v>
      </c>
      <c r="H187" s="1" t="n">
        <f aca="false">IF(A187,COUNTIFS($B$2:$B$261,B187,$F$2:$F$261,F187),0)</f>
        <v>0</v>
      </c>
      <c r="I187" s="1" t="str">
        <f aca="false">IF(C187,"\multirow{"&amp;E187&amp;"}{*}{"&amp;B187&amp;"}","")</f>
        <v/>
      </c>
      <c r="J187" s="1" t="str">
        <f aca="false">IF(G187,IF(H187=1,F187,"\multirow{"&amp;H187&amp;"}{*}{"&amp;F187&amp;"}"),"")</f>
        <v/>
      </c>
      <c r="K187" s="1" t="str">
        <f aca="false">IF(A187,TEXT(Dates!K187,"00"),"")</f>
        <v/>
      </c>
      <c r="L187" s="1" t="str">
        <f aca="false">IF(A187,Dates!H187&amp;IF(C187,Settings!$B$2,""),"")</f>
        <v/>
      </c>
      <c r="M187" s="1" t="str">
        <f aca="false">IF(A187,IF(Schedule!I187="","",IF(ISNUMBER(Schedule!I187),IF(Schedule!I187&lt;10,Settings!$B$6&amp;TEXT(Schedule!I187,"#"),Schedule!I187),Schedule!I187)),"")</f>
        <v/>
      </c>
      <c r="N187" s="1" t="str">
        <f aca="false">IF(A187,IF(Schedule!J187="","",Schedule!J187),"")</f>
        <v/>
      </c>
      <c r="O187" s="1" t="str">
        <f aca="false">IF(A187,IF(AND(Settings!$B$14="longtable",NOT(D187)),Settings!$B$15,Settings!$B$3),"")</f>
        <v/>
      </c>
      <c r="P187" s="1" t="str">
        <f aca="false">IF(D187,Settings!$B$4,"")</f>
        <v/>
      </c>
    </row>
    <row r="188" customFormat="false" ht="15" hidden="false" customHeight="false" outlineLevel="0" collapsed="false">
      <c r="A188" s="46" t="b">
        <f aca="false">AND(Dates!F188&lt;&gt;"",ROW()&lt;=Settings!$B$13)</f>
        <v>0</v>
      </c>
      <c r="B188" s="1" t="str">
        <f aca="false">IF(NOT(A188),"",IF(Dates!D188&lt;&gt;"",Dates!D188,IF(ROW()=2,"",B187)))</f>
        <v/>
      </c>
      <c r="C188" s="46" t="b">
        <f aca="false">AND(A188,OR(ROW()=2,B188&lt;&gt;B187))</f>
        <v>0</v>
      </c>
      <c r="D188" s="46" t="b">
        <f aca="false">AND(A188,OR(NOT(A189),B189&lt;&gt;B188))</f>
        <v>0</v>
      </c>
      <c r="E188" s="1" t="n">
        <f aca="false">IF(A188,COUNTIF($B$2:$B$261,B188),0)</f>
        <v>0</v>
      </c>
      <c r="F188" s="1" t="str">
        <f aca="false">IF(A188,Dates!J188,"")</f>
        <v/>
      </c>
      <c r="G188" s="46" t="b">
        <f aca="false">AND(A188,OR(C188,F188&lt;&gt;F187))</f>
        <v>0</v>
      </c>
      <c r="H188" s="1" t="n">
        <f aca="false">IF(A188,COUNTIFS($B$2:$B$261,B188,$F$2:$F$261,F188),0)</f>
        <v>0</v>
      </c>
      <c r="I188" s="1" t="str">
        <f aca="false">IF(C188,"\multirow{"&amp;E188&amp;"}{*}{"&amp;B188&amp;"}","")</f>
        <v/>
      </c>
      <c r="J188" s="1" t="str">
        <f aca="false">IF(G188,IF(H188=1,F188,"\multirow{"&amp;H188&amp;"}{*}{"&amp;F188&amp;"}"),"")</f>
        <v/>
      </c>
      <c r="K188" s="1" t="str">
        <f aca="false">IF(A188,TEXT(Dates!K188,"00"),"")</f>
        <v/>
      </c>
      <c r="L188" s="1" t="str">
        <f aca="false">IF(A188,Dates!H188&amp;IF(C188,Settings!$B$2,""),"")</f>
        <v/>
      </c>
      <c r="M188" s="1" t="str">
        <f aca="false">IF(A188,IF(Schedule!I188="","",IF(ISNUMBER(Schedule!I188),IF(Schedule!I188&lt;10,Settings!$B$6&amp;TEXT(Schedule!I188,"#"),Schedule!I188),Schedule!I188)),"")</f>
        <v/>
      </c>
      <c r="N188" s="1" t="str">
        <f aca="false">IF(A188,IF(Schedule!J188="","",Schedule!J188),"")</f>
        <v/>
      </c>
      <c r="O188" s="1" t="str">
        <f aca="false">IF(A188,IF(AND(Settings!$B$14="longtable",NOT(D188)),Settings!$B$15,Settings!$B$3),"")</f>
        <v/>
      </c>
      <c r="P188" s="1" t="str">
        <f aca="false">IF(D188,Settings!$B$4,"")</f>
        <v/>
      </c>
    </row>
    <row r="189" customFormat="false" ht="15" hidden="false" customHeight="false" outlineLevel="0" collapsed="false">
      <c r="A189" s="46" t="b">
        <f aca="false">AND(Dates!F189&lt;&gt;"",ROW()&lt;=Settings!$B$13)</f>
        <v>0</v>
      </c>
      <c r="B189" s="1" t="str">
        <f aca="false">IF(NOT(A189),"",IF(Dates!D189&lt;&gt;"",Dates!D189,IF(ROW()=2,"",B188)))</f>
        <v/>
      </c>
      <c r="C189" s="46" t="b">
        <f aca="false">AND(A189,OR(ROW()=2,B189&lt;&gt;B188))</f>
        <v>0</v>
      </c>
      <c r="D189" s="46" t="b">
        <f aca="false">AND(A189,OR(NOT(A190),B190&lt;&gt;B189))</f>
        <v>0</v>
      </c>
      <c r="E189" s="1" t="n">
        <f aca="false">IF(A189,COUNTIF($B$2:$B$261,B189),0)</f>
        <v>0</v>
      </c>
      <c r="F189" s="1" t="str">
        <f aca="false">IF(A189,Dates!J189,"")</f>
        <v/>
      </c>
      <c r="G189" s="46" t="b">
        <f aca="false">AND(A189,OR(C189,F189&lt;&gt;F188))</f>
        <v>0</v>
      </c>
      <c r="H189" s="1" t="n">
        <f aca="false">IF(A189,COUNTIFS($B$2:$B$261,B189,$F$2:$F$261,F189),0)</f>
        <v>0</v>
      </c>
      <c r="I189" s="1" t="str">
        <f aca="false">IF(C189,"\multirow{"&amp;E189&amp;"}{*}{"&amp;B189&amp;"}","")</f>
        <v/>
      </c>
      <c r="J189" s="1" t="str">
        <f aca="false">IF(G189,IF(H189=1,F189,"\multirow{"&amp;H189&amp;"}{*}{"&amp;F189&amp;"}"),"")</f>
        <v/>
      </c>
      <c r="K189" s="1" t="str">
        <f aca="false">IF(A189,TEXT(Dates!K189,"00"),"")</f>
        <v/>
      </c>
      <c r="L189" s="1" t="str">
        <f aca="false">IF(A189,Dates!H189&amp;IF(C189,Settings!$B$2,""),"")</f>
        <v/>
      </c>
      <c r="M189" s="1" t="str">
        <f aca="false">IF(A189,IF(Schedule!I189="","",IF(ISNUMBER(Schedule!I189),IF(Schedule!I189&lt;10,Settings!$B$6&amp;TEXT(Schedule!I189,"#"),Schedule!I189),Schedule!I189)),"")</f>
        <v/>
      </c>
      <c r="N189" s="1" t="str">
        <f aca="false">IF(A189,IF(Schedule!J189="","",Schedule!J189),"")</f>
        <v/>
      </c>
      <c r="O189" s="1" t="str">
        <f aca="false">IF(A189,IF(AND(Settings!$B$14="longtable",NOT(D189)),Settings!$B$15,Settings!$B$3),"")</f>
        <v/>
      </c>
      <c r="P189" s="1" t="str">
        <f aca="false">IF(D189,Settings!$B$4,"")</f>
        <v/>
      </c>
    </row>
    <row r="190" customFormat="false" ht="15" hidden="false" customHeight="false" outlineLevel="0" collapsed="false">
      <c r="A190" s="46" t="b">
        <f aca="false">AND(Dates!F190&lt;&gt;"",ROW()&lt;=Settings!$B$13)</f>
        <v>0</v>
      </c>
      <c r="B190" s="1" t="str">
        <f aca="false">IF(NOT(A190),"",IF(Dates!D190&lt;&gt;"",Dates!D190,IF(ROW()=2,"",B189)))</f>
        <v/>
      </c>
      <c r="C190" s="46" t="b">
        <f aca="false">AND(A190,OR(ROW()=2,B190&lt;&gt;B189))</f>
        <v>0</v>
      </c>
      <c r="D190" s="46" t="b">
        <f aca="false">AND(A190,OR(NOT(A191),B191&lt;&gt;B190))</f>
        <v>0</v>
      </c>
      <c r="E190" s="1" t="n">
        <f aca="false">IF(A190,COUNTIF($B$2:$B$261,B190),0)</f>
        <v>0</v>
      </c>
      <c r="F190" s="1" t="str">
        <f aca="false">IF(A190,Dates!J190,"")</f>
        <v/>
      </c>
      <c r="G190" s="46" t="b">
        <f aca="false">AND(A190,OR(C190,F190&lt;&gt;F189))</f>
        <v>0</v>
      </c>
      <c r="H190" s="1" t="n">
        <f aca="false">IF(A190,COUNTIFS($B$2:$B$261,B190,$F$2:$F$261,F190),0)</f>
        <v>0</v>
      </c>
      <c r="I190" s="1" t="str">
        <f aca="false">IF(C190,"\multirow{"&amp;E190&amp;"}{*}{"&amp;B190&amp;"}","")</f>
        <v/>
      </c>
      <c r="J190" s="1" t="str">
        <f aca="false">IF(G190,IF(H190=1,F190,"\multirow{"&amp;H190&amp;"}{*}{"&amp;F190&amp;"}"),"")</f>
        <v/>
      </c>
      <c r="K190" s="1" t="str">
        <f aca="false">IF(A190,TEXT(Dates!K190,"00"),"")</f>
        <v/>
      </c>
      <c r="L190" s="1" t="str">
        <f aca="false">IF(A190,Dates!H190&amp;IF(C190,Settings!$B$2,""),"")</f>
        <v/>
      </c>
      <c r="M190" s="1" t="str">
        <f aca="false">IF(A190,IF(Schedule!I190="","",IF(ISNUMBER(Schedule!I190),IF(Schedule!I190&lt;10,Settings!$B$6&amp;TEXT(Schedule!I190,"#"),Schedule!I190),Schedule!I190)),"")</f>
        <v/>
      </c>
      <c r="N190" s="1" t="str">
        <f aca="false">IF(A190,IF(Schedule!J190="","",Schedule!J190),"")</f>
        <v/>
      </c>
      <c r="O190" s="1" t="str">
        <f aca="false">IF(A190,IF(AND(Settings!$B$14="longtable",NOT(D190)),Settings!$B$15,Settings!$B$3),"")</f>
        <v/>
      </c>
      <c r="P190" s="1" t="str">
        <f aca="false">IF(D190,Settings!$B$4,"")</f>
        <v/>
      </c>
    </row>
    <row r="191" customFormat="false" ht="15" hidden="false" customHeight="false" outlineLevel="0" collapsed="false">
      <c r="A191" s="46" t="b">
        <f aca="false">AND(Dates!F191&lt;&gt;"",ROW()&lt;=Settings!$B$13)</f>
        <v>0</v>
      </c>
      <c r="B191" s="1" t="str">
        <f aca="false">IF(NOT(A191),"",IF(Dates!D191&lt;&gt;"",Dates!D191,IF(ROW()=2,"",B190)))</f>
        <v/>
      </c>
      <c r="C191" s="46" t="b">
        <f aca="false">AND(A191,OR(ROW()=2,B191&lt;&gt;B190))</f>
        <v>0</v>
      </c>
      <c r="D191" s="46" t="b">
        <f aca="false">AND(A191,OR(NOT(A192),B192&lt;&gt;B191))</f>
        <v>0</v>
      </c>
      <c r="E191" s="1" t="n">
        <f aca="false">IF(A191,COUNTIF($B$2:$B$261,B191),0)</f>
        <v>0</v>
      </c>
      <c r="F191" s="1" t="str">
        <f aca="false">IF(A191,Dates!J191,"")</f>
        <v/>
      </c>
      <c r="G191" s="46" t="b">
        <f aca="false">AND(A191,OR(C191,F191&lt;&gt;F190))</f>
        <v>0</v>
      </c>
      <c r="H191" s="1" t="n">
        <f aca="false">IF(A191,COUNTIFS($B$2:$B$261,B191,$F$2:$F$261,F191),0)</f>
        <v>0</v>
      </c>
      <c r="I191" s="1" t="str">
        <f aca="false">IF(C191,"\multirow{"&amp;E191&amp;"}{*}{"&amp;B191&amp;"}","")</f>
        <v/>
      </c>
      <c r="J191" s="1" t="str">
        <f aca="false">IF(G191,IF(H191=1,F191,"\multirow{"&amp;H191&amp;"}{*}{"&amp;F191&amp;"}"),"")</f>
        <v/>
      </c>
      <c r="K191" s="1" t="str">
        <f aca="false">IF(A191,TEXT(Dates!K191,"00"),"")</f>
        <v/>
      </c>
      <c r="L191" s="1" t="str">
        <f aca="false">IF(A191,Dates!H191&amp;IF(C191,Settings!$B$2,""),"")</f>
        <v/>
      </c>
      <c r="M191" s="1" t="str">
        <f aca="false">IF(A191,IF(Schedule!I191="","",IF(ISNUMBER(Schedule!I191),IF(Schedule!I191&lt;10,Settings!$B$6&amp;TEXT(Schedule!I191,"#"),Schedule!I191),Schedule!I191)),"")</f>
        <v/>
      </c>
      <c r="N191" s="1" t="str">
        <f aca="false">IF(A191,IF(Schedule!J191="","",Schedule!J191),"")</f>
        <v/>
      </c>
      <c r="O191" s="1" t="str">
        <f aca="false">IF(A191,IF(AND(Settings!$B$14="longtable",NOT(D191)),Settings!$B$15,Settings!$B$3),"")</f>
        <v/>
      </c>
      <c r="P191" s="1" t="str">
        <f aca="false">IF(D191,Settings!$B$4,"")</f>
        <v/>
      </c>
    </row>
    <row r="192" customFormat="false" ht="15" hidden="false" customHeight="false" outlineLevel="0" collapsed="false">
      <c r="A192" s="46" t="b">
        <f aca="false">AND(Dates!F192&lt;&gt;"",ROW()&lt;=Settings!$B$13)</f>
        <v>0</v>
      </c>
      <c r="B192" s="1" t="str">
        <f aca="false">IF(NOT(A192),"",IF(Dates!D192&lt;&gt;"",Dates!D192,IF(ROW()=2,"",B191)))</f>
        <v/>
      </c>
      <c r="C192" s="46" t="b">
        <f aca="false">AND(A192,OR(ROW()=2,B192&lt;&gt;B191))</f>
        <v>0</v>
      </c>
      <c r="D192" s="46" t="b">
        <f aca="false">AND(A192,OR(NOT(A193),B193&lt;&gt;B192))</f>
        <v>0</v>
      </c>
      <c r="E192" s="1" t="n">
        <f aca="false">IF(A192,COUNTIF($B$2:$B$261,B192),0)</f>
        <v>0</v>
      </c>
      <c r="F192" s="1" t="str">
        <f aca="false">IF(A192,Dates!J192,"")</f>
        <v/>
      </c>
      <c r="G192" s="46" t="b">
        <f aca="false">AND(A192,OR(C192,F192&lt;&gt;F191))</f>
        <v>0</v>
      </c>
      <c r="H192" s="1" t="n">
        <f aca="false">IF(A192,COUNTIFS($B$2:$B$261,B192,$F$2:$F$261,F192),0)</f>
        <v>0</v>
      </c>
      <c r="I192" s="1" t="str">
        <f aca="false">IF(C192,"\multirow{"&amp;E192&amp;"}{*}{"&amp;B192&amp;"}","")</f>
        <v/>
      </c>
      <c r="J192" s="1" t="str">
        <f aca="false">IF(G192,IF(H192=1,F192,"\multirow{"&amp;H192&amp;"}{*}{"&amp;F192&amp;"}"),"")</f>
        <v/>
      </c>
      <c r="K192" s="1" t="str">
        <f aca="false">IF(A192,TEXT(Dates!K192,"00"),"")</f>
        <v/>
      </c>
      <c r="L192" s="1" t="str">
        <f aca="false">IF(A192,Dates!H192&amp;IF(C192,Settings!$B$2,""),"")</f>
        <v/>
      </c>
      <c r="M192" s="1" t="str">
        <f aca="false">IF(A192,IF(Schedule!I192="","",IF(ISNUMBER(Schedule!I192),IF(Schedule!I192&lt;10,Settings!$B$6&amp;TEXT(Schedule!I192,"#"),Schedule!I192),Schedule!I192)),"")</f>
        <v/>
      </c>
      <c r="N192" s="1" t="str">
        <f aca="false">IF(A192,IF(Schedule!J192="","",Schedule!J192),"")</f>
        <v/>
      </c>
      <c r="O192" s="1" t="str">
        <f aca="false">IF(A192,IF(AND(Settings!$B$14="longtable",NOT(D192)),Settings!$B$15,Settings!$B$3),"")</f>
        <v/>
      </c>
      <c r="P192" s="1" t="str">
        <f aca="false">IF(D192,Settings!$B$4,"")</f>
        <v/>
      </c>
    </row>
    <row r="193" customFormat="false" ht="15" hidden="false" customHeight="false" outlineLevel="0" collapsed="false">
      <c r="A193" s="46" t="b">
        <f aca="false">AND(Dates!F193&lt;&gt;"",ROW()&lt;=Settings!$B$13)</f>
        <v>0</v>
      </c>
      <c r="B193" s="1" t="str">
        <f aca="false">IF(NOT(A193),"",IF(Dates!D193&lt;&gt;"",Dates!D193,IF(ROW()=2,"",B192)))</f>
        <v/>
      </c>
      <c r="C193" s="46" t="b">
        <f aca="false">AND(A193,OR(ROW()=2,B193&lt;&gt;B192))</f>
        <v>0</v>
      </c>
      <c r="D193" s="46" t="b">
        <f aca="false">AND(A193,OR(NOT(A194),B194&lt;&gt;B193))</f>
        <v>0</v>
      </c>
      <c r="E193" s="1" t="n">
        <f aca="false">IF(A193,COUNTIF($B$2:$B$261,B193),0)</f>
        <v>0</v>
      </c>
      <c r="F193" s="1" t="str">
        <f aca="false">IF(A193,Dates!J193,"")</f>
        <v/>
      </c>
      <c r="G193" s="46" t="b">
        <f aca="false">AND(A193,OR(C193,F193&lt;&gt;F192))</f>
        <v>0</v>
      </c>
      <c r="H193" s="1" t="n">
        <f aca="false">IF(A193,COUNTIFS($B$2:$B$261,B193,$F$2:$F$261,F193),0)</f>
        <v>0</v>
      </c>
      <c r="I193" s="1" t="str">
        <f aca="false">IF(C193,"\multirow{"&amp;E193&amp;"}{*}{"&amp;B193&amp;"}","")</f>
        <v/>
      </c>
      <c r="J193" s="1" t="str">
        <f aca="false">IF(G193,IF(H193=1,F193,"\multirow{"&amp;H193&amp;"}{*}{"&amp;F193&amp;"}"),"")</f>
        <v/>
      </c>
      <c r="K193" s="1" t="str">
        <f aca="false">IF(A193,TEXT(Dates!K193,"00"),"")</f>
        <v/>
      </c>
      <c r="L193" s="1" t="str">
        <f aca="false">IF(A193,Dates!H193&amp;IF(C193,Settings!$B$2,""),"")</f>
        <v/>
      </c>
      <c r="M193" s="1" t="str">
        <f aca="false">IF(A193,IF(Schedule!I193="","",IF(ISNUMBER(Schedule!I193),IF(Schedule!I193&lt;10,Settings!$B$6&amp;TEXT(Schedule!I193,"#"),Schedule!I193),Schedule!I193)),"")</f>
        <v/>
      </c>
      <c r="N193" s="1" t="str">
        <f aca="false">IF(A193,IF(Schedule!J193="","",Schedule!J193),"")</f>
        <v/>
      </c>
      <c r="O193" s="1" t="str">
        <f aca="false">IF(A193,IF(AND(Settings!$B$14="longtable",NOT(D193)),Settings!$B$15,Settings!$B$3),"")</f>
        <v/>
      </c>
      <c r="P193" s="1" t="str">
        <f aca="false">IF(D193,Settings!$B$4,"")</f>
        <v/>
      </c>
    </row>
    <row r="194" customFormat="false" ht="15" hidden="false" customHeight="false" outlineLevel="0" collapsed="false">
      <c r="A194" s="46" t="b">
        <f aca="false">AND(Dates!F194&lt;&gt;"",ROW()&lt;=Settings!$B$13)</f>
        <v>0</v>
      </c>
      <c r="B194" s="1" t="str">
        <f aca="false">IF(NOT(A194),"",IF(Dates!D194&lt;&gt;"",Dates!D194,IF(ROW()=2,"",B193)))</f>
        <v/>
      </c>
      <c r="C194" s="46" t="b">
        <f aca="false">AND(A194,OR(ROW()=2,B194&lt;&gt;B193))</f>
        <v>0</v>
      </c>
      <c r="D194" s="46" t="b">
        <f aca="false">AND(A194,OR(NOT(A195),B195&lt;&gt;B194))</f>
        <v>0</v>
      </c>
      <c r="E194" s="1" t="n">
        <f aca="false">IF(A194,COUNTIF($B$2:$B$261,B194),0)</f>
        <v>0</v>
      </c>
      <c r="F194" s="1" t="str">
        <f aca="false">IF(A194,Dates!J194,"")</f>
        <v/>
      </c>
      <c r="G194" s="46" t="b">
        <f aca="false">AND(A194,OR(C194,F194&lt;&gt;F193))</f>
        <v>0</v>
      </c>
      <c r="H194" s="1" t="n">
        <f aca="false">IF(A194,COUNTIFS($B$2:$B$261,B194,$F$2:$F$261,F194),0)</f>
        <v>0</v>
      </c>
      <c r="I194" s="1" t="str">
        <f aca="false">IF(C194,"\multirow{"&amp;E194&amp;"}{*}{"&amp;B194&amp;"}","")</f>
        <v/>
      </c>
      <c r="J194" s="1" t="str">
        <f aca="false">IF(G194,IF(H194=1,F194,"\multirow{"&amp;H194&amp;"}{*}{"&amp;F194&amp;"}"),"")</f>
        <v/>
      </c>
      <c r="K194" s="1" t="str">
        <f aca="false">IF(A194,TEXT(Dates!K194,"00"),"")</f>
        <v/>
      </c>
      <c r="L194" s="1" t="str">
        <f aca="false">IF(A194,Dates!H194&amp;IF(C194,Settings!$B$2,""),"")</f>
        <v/>
      </c>
      <c r="M194" s="1" t="str">
        <f aca="false">IF(A194,IF(Schedule!I194="","",IF(ISNUMBER(Schedule!I194),IF(Schedule!I194&lt;10,Settings!$B$6&amp;TEXT(Schedule!I194,"#"),Schedule!I194),Schedule!I194)),"")</f>
        <v/>
      </c>
      <c r="N194" s="1" t="str">
        <f aca="false">IF(A194,IF(Schedule!J194="","",Schedule!J194),"")</f>
        <v/>
      </c>
      <c r="O194" s="1" t="str">
        <f aca="false">IF(A194,IF(AND(Settings!$B$14="longtable",NOT(D194)),Settings!$B$15,Settings!$B$3),"")</f>
        <v/>
      </c>
      <c r="P194" s="1" t="str">
        <f aca="false">IF(D194,Settings!$B$4,"")</f>
        <v/>
      </c>
    </row>
    <row r="195" customFormat="false" ht="15" hidden="false" customHeight="false" outlineLevel="0" collapsed="false">
      <c r="A195" s="46" t="b">
        <f aca="false">AND(Dates!F195&lt;&gt;"",ROW()&lt;=Settings!$B$13)</f>
        <v>0</v>
      </c>
      <c r="B195" s="1" t="str">
        <f aca="false">IF(NOT(A195),"",IF(Dates!D195&lt;&gt;"",Dates!D195,IF(ROW()=2,"",B194)))</f>
        <v/>
      </c>
      <c r="C195" s="46" t="b">
        <f aca="false">AND(A195,OR(ROW()=2,B195&lt;&gt;B194))</f>
        <v>0</v>
      </c>
      <c r="D195" s="46" t="b">
        <f aca="false">AND(A195,OR(NOT(A196),B196&lt;&gt;B195))</f>
        <v>0</v>
      </c>
      <c r="E195" s="1" t="n">
        <f aca="false">IF(A195,COUNTIF($B$2:$B$261,B195),0)</f>
        <v>0</v>
      </c>
      <c r="F195" s="1" t="str">
        <f aca="false">IF(A195,Dates!J195,"")</f>
        <v/>
      </c>
      <c r="G195" s="46" t="b">
        <f aca="false">AND(A195,OR(C195,F195&lt;&gt;F194))</f>
        <v>0</v>
      </c>
      <c r="H195" s="1" t="n">
        <f aca="false">IF(A195,COUNTIFS($B$2:$B$261,B195,$F$2:$F$261,F195),0)</f>
        <v>0</v>
      </c>
      <c r="I195" s="1" t="str">
        <f aca="false">IF(C195,"\multirow{"&amp;E195&amp;"}{*}{"&amp;B195&amp;"}","")</f>
        <v/>
      </c>
      <c r="J195" s="1" t="str">
        <f aca="false">IF(G195,IF(H195=1,F195,"\multirow{"&amp;H195&amp;"}{*}{"&amp;F195&amp;"}"),"")</f>
        <v/>
      </c>
      <c r="K195" s="1" t="str">
        <f aca="false">IF(A195,TEXT(Dates!K195,"00"),"")</f>
        <v/>
      </c>
      <c r="L195" s="1" t="str">
        <f aca="false">IF(A195,Dates!H195&amp;IF(C195,Settings!$B$2,""),"")</f>
        <v/>
      </c>
      <c r="M195" s="1" t="str">
        <f aca="false">IF(A195,IF(Schedule!I195="","",IF(ISNUMBER(Schedule!I195),IF(Schedule!I195&lt;10,Settings!$B$6&amp;TEXT(Schedule!I195,"#"),Schedule!I195),Schedule!I195)),"")</f>
        <v/>
      </c>
      <c r="N195" s="1" t="str">
        <f aca="false">IF(A195,IF(Schedule!J195="","",Schedule!J195),"")</f>
        <v/>
      </c>
      <c r="O195" s="1" t="str">
        <f aca="false">IF(A195,IF(AND(Settings!$B$14="longtable",NOT(D195)),Settings!$B$15,Settings!$B$3),"")</f>
        <v/>
      </c>
      <c r="P195" s="1" t="str">
        <f aca="false">IF(D195,Settings!$B$4,"")</f>
        <v/>
      </c>
    </row>
    <row r="196" customFormat="false" ht="15" hidden="false" customHeight="false" outlineLevel="0" collapsed="false">
      <c r="A196" s="46" t="b">
        <f aca="false">AND(Dates!F196&lt;&gt;"",ROW()&lt;=Settings!$B$13)</f>
        <v>0</v>
      </c>
      <c r="B196" s="1" t="str">
        <f aca="false">IF(NOT(A196),"",IF(Dates!D196&lt;&gt;"",Dates!D196,IF(ROW()=2,"",B195)))</f>
        <v/>
      </c>
      <c r="C196" s="46" t="b">
        <f aca="false">AND(A196,OR(ROW()=2,B196&lt;&gt;B195))</f>
        <v>0</v>
      </c>
      <c r="D196" s="46" t="b">
        <f aca="false">AND(A196,OR(NOT(A197),B197&lt;&gt;B196))</f>
        <v>0</v>
      </c>
      <c r="E196" s="1" t="n">
        <f aca="false">IF(A196,COUNTIF($B$2:$B$261,B196),0)</f>
        <v>0</v>
      </c>
      <c r="F196" s="1" t="str">
        <f aca="false">IF(A196,Dates!J196,"")</f>
        <v/>
      </c>
      <c r="G196" s="46" t="b">
        <f aca="false">AND(A196,OR(C196,F196&lt;&gt;F195))</f>
        <v>0</v>
      </c>
      <c r="H196" s="1" t="n">
        <f aca="false">IF(A196,COUNTIFS($B$2:$B$261,B196,$F$2:$F$261,F196),0)</f>
        <v>0</v>
      </c>
      <c r="I196" s="1" t="str">
        <f aca="false">IF(C196,"\multirow{"&amp;E196&amp;"}{*}{"&amp;B196&amp;"}","")</f>
        <v/>
      </c>
      <c r="J196" s="1" t="str">
        <f aca="false">IF(G196,IF(H196=1,F196,"\multirow{"&amp;H196&amp;"}{*}{"&amp;F196&amp;"}"),"")</f>
        <v/>
      </c>
      <c r="K196" s="1" t="str">
        <f aca="false">IF(A196,TEXT(Dates!K196,"00"),"")</f>
        <v/>
      </c>
      <c r="L196" s="1" t="str">
        <f aca="false">IF(A196,Dates!H196&amp;IF(C196,Settings!$B$2,""),"")</f>
        <v/>
      </c>
      <c r="M196" s="1" t="str">
        <f aca="false">IF(A196,IF(Schedule!I196="","",IF(ISNUMBER(Schedule!I196),IF(Schedule!I196&lt;10,Settings!$B$6&amp;TEXT(Schedule!I196,"#"),Schedule!I196),Schedule!I196)),"")</f>
        <v/>
      </c>
      <c r="N196" s="1" t="str">
        <f aca="false">IF(A196,IF(Schedule!J196="","",Schedule!J196),"")</f>
        <v/>
      </c>
      <c r="O196" s="1" t="str">
        <f aca="false">IF(A196,IF(AND(Settings!$B$14="longtable",NOT(D196)),Settings!$B$15,Settings!$B$3),"")</f>
        <v/>
      </c>
      <c r="P196" s="1" t="str">
        <f aca="false">IF(D196,Settings!$B$4,"")</f>
        <v/>
      </c>
    </row>
    <row r="197" customFormat="false" ht="15" hidden="false" customHeight="false" outlineLevel="0" collapsed="false">
      <c r="A197" s="46" t="b">
        <f aca="false">AND(Dates!F197&lt;&gt;"",ROW()&lt;=Settings!$B$13)</f>
        <v>0</v>
      </c>
      <c r="B197" s="1" t="str">
        <f aca="false">IF(NOT(A197),"",IF(Dates!D197&lt;&gt;"",Dates!D197,IF(ROW()=2,"",B196)))</f>
        <v/>
      </c>
      <c r="C197" s="46" t="b">
        <f aca="false">AND(A197,OR(ROW()=2,B197&lt;&gt;B196))</f>
        <v>0</v>
      </c>
      <c r="D197" s="46" t="b">
        <f aca="false">AND(A197,OR(NOT(A198),B198&lt;&gt;B197))</f>
        <v>0</v>
      </c>
      <c r="E197" s="1" t="n">
        <f aca="false">IF(A197,COUNTIF($B$2:$B$261,B197),0)</f>
        <v>0</v>
      </c>
      <c r="F197" s="1" t="str">
        <f aca="false">IF(A197,Dates!J197,"")</f>
        <v/>
      </c>
      <c r="G197" s="46" t="b">
        <f aca="false">AND(A197,OR(C197,F197&lt;&gt;F196))</f>
        <v>0</v>
      </c>
      <c r="H197" s="1" t="n">
        <f aca="false">IF(A197,COUNTIFS($B$2:$B$261,B197,$F$2:$F$261,F197),0)</f>
        <v>0</v>
      </c>
      <c r="I197" s="1" t="str">
        <f aca="false">IF(C197,"\multirow{"&amp;E197&amp;"}{*}{"&amp;B197&amp;"}","")</f>
        <v/>
      </c>
      <c r="J197" s="1" t="str">
        <f aca="false">IF(G197,IF(H197=1,F197,"\multirow{"&amp;H197&amp;"}{*}{"&amp;F197&amp;"}"),"")</f>
        <v/>
      </c>
      <c r="K197" s="1" t="str">
        <f aca="false">IF(A197,TEXT(Dates!K197,"00"),"")</f>
        <v/>
      </c>
      <c r="L197" s="1" t="str">
        <f aca="false">IF(A197,Dates!H197&amp;IF(C197,Settings!$B$2,""),"")</f>
        <v/>
      </c>
      <c r="M197" s="1" t="str">
        <f aca="false">IF(A197,IF(Schedule!I197="","",IF(ISNUMBER(Schedule!I197),IF(Schedule!I197&lt;10,Settings!$B$6&amp;TEXT(Schedule!I197,"#"),Schedule!I197),Schedule!I197)),"")</f>
        <v/>
      </c>
      <c r="N197" s="1" t="str">
        <f aca="false">IF(A197,IF(Schedule!J197="","",Schedule!J197),"")</f>
        <v/>
      </c>
      <c r="O197" s="1" t="str">
        <f aca="false">IF(A197,IF(AND(Settings!$B$14="longtable",NOT(D197)),Settings!$B$15,Settings!$B$3),"")</f>
        <v/>
      </c>
      <c r="P197" s="1" t="str">
        <f aca="false">IF(D197,Settings!$B$4,"")</f>
        <v/>
      </c>
    </row>
    <row r="198" customFormat="false" ht="15" hidden="false" customHeight="false" outlineLevel="0" collapsed="false">
      <c r="A198" s="46" t="b">
        <f aca="false">AND(Dates!F198&lt;&gt;"",ROW()&lt;=Settings!$B$13)</f>
        <v>0</v>
      </c>
      <c r="B198" s="1" t="str">
        <f aca="false">IF(NOT(A198),"",IF(Dates!D198&lt;&gt;"",Dates!D198,IF(ROW()=2,"",B197)))</f>
        <v/>
      </c>
      <c r="C198" s="46" t="b">
        <f aca="false">AND(A198,OR(ROW()=2,B198&lt;&gt;B197))</f>
        <v>0</v>
      </c>
      <c r="D198" s="46" t="b">
        <f aca="false">AND(A198,OR(NOT(A199),B199&lt;&gt;B198))</f>
        <v>0</v>
      </c>
      <c r="E198" s="1" t="n">
        <f aca="false">IF(A198,COUNTIF($B$2:$B$261,B198),0)</f>
        <v>0</v>
      </c>
      <c r="F198" s="1" t="str">
        <f aca="false">IF(A198,Dates!J198,"")</f>
        <v/>
      </c>
      <c r="G198" s="46" t="b">
        <f aca="false">AND(A198,OR(C198,F198&lt;&gt;F197))</f>
        <v>0</v>
      </c>
      <c r="H198" s="1" t="n">
        <f aca="false">IF(A198,COUNTIFS($B$2:$B$261,B198,$F$2:$F$261,F198),0)</f>
        <v>0</v>
      </c>
      <c r="I198" s="1" t="str">
        <f aca="false">IF(C198,"\multirow{"&amp;E198&amp;"}{*}{"&amp;B198&amp;"}","")</f>
        <v/>
      </c>
      <c r="J198" s="1" t="str">
        <f aca="false">IF(G198,IF(H198=1,F198,"\multirow{"&amp;H198&amp;"}{*}{"&amp;F198&amp;"}"),"")</f>
        <v/>
      </c>
      <c r="K198" s="1" t="str">
        <f aca="false">IF(A198,TEXT(Dates!K198,"00"),"")</f>
        <v/>
      </c>
      <c r="L198" s="1" t="str">
        <f aca="false">IF(A198,Dates!H198&amp;IF(C198,Settings!$B$2,""),"")</f>
        <v/>
      </c>
      <c r="M198" s="1" t="str">
        <f aca="false">IF(A198,IF(Schedule!I198="","",IF(ISNUMBER(Schedule!I198),IF(Schedule!I198&lt;10,Settings!$B$6&amp;TEXT(Schedule!I198,"#"),Schedule!I198),Schedule!I198)),"")</f>
        <v/>
      </c>
      <c r="N198" s="1" t="str">
        <f aca="false">IF(A198,IF(Schedule!J198="","",Schedule!J198),"")</f>
        <v/>
      </c>
      <c r="O198" s="1" t="str">
        <f aca="false">IF(A198,IF(AND(Settings!$B$14="longtable",NOT(D198)),Settings!$B$15,Settings!$B$3),"")</f>
        <v/>
      </c>
      <c r="P198" s="1" t="str">
        <f aca="false">IF(D198,Settings!$B$4,"")</f>
        <v/>
      </c>
    </row>
    <row r="199" customFormat="false" ht="15" hidden="false" customHeight="false" outlineLevel="0" collapsed="false">
      <c r="A199" s="46" t="b">
        <f aca="false">AND(Dates!F199&lt;&gt;"",ROW()&lt;=Settings!$B$13)</f>
        <v>0</v>
      </c>
      <c r="B199" s="1" t="str">
        <f aca="false">IF(NOT(A199),"",IF(Dates!D199&lt;&gt;"",Dates!D199,IF(ROW()=2,"",B198)))</f>
        <v/>
      </c>
      <c r="C199" s="46" t="b">
        <f aca="false">AND(A199,OR(ROW()=2,B199&lt;&gt;B198))</f>
        <v>0</v>
      </c>
      <c r="D199" s="46" t="b">
        <f aca="false">AND(A199,OR(NOT(A200),B200&lt;&gt;B199))</f>
        <v>0</v>
      </c>
      <c r="E199" s="1" t="n">
        <f aca="false">IF(A199,COUNTIF($B$2:$B$261,B199),0)</f>
        <v>0</v>
      </c>
      <c r="F199" s="1" t="str">
        <f aca="false">IF(A199,Dates!J199,"")</f>
        <v/>
      </c>
      <c r="G199" s="46" t="b">
        <f aca="false">AND(A199,OR(C199,F199&lt;&gt;F198))</f>
        <v>0</v>
      </c>
      <c r="H199" s="1" t="n">
        <f aca="false">IF(A199,COUNTIFS($B$2:$B$261,B199,$F$2:$F$261,F199),0)</f>
        <v>0</v>
      </c>
      <c r="I199" s="1" t="str">
        <f aca="false">IF(C199,"\multirow{"&amp;E199&amp;"}{*}{"&amp;B199&amp;"}","")</f>
        <v/>
      </c>
      <c r="J199" s="1" t="str">
        <f aca="false">IF(G199,IF(H199=1,F199,"\multirow{"&amp;H199&amp;"}{*}{"&amp;F199&amp;"}"),"")</f>
        <v/>
      </c>
      <c r="K199" s="1" t="str">
        <f aca="false">IF(A199,TEXT(Dates!K199,"00"),"")</f>
        <v/>
      </c>
      <c r="L199" s="1" t="str">
        <f aca="false">IF(A199,Dates!H199&amp;IF(C199,Settings!$B$2,""),"")</f>
        <v/>
      </c>
      <c r="M199" s="1" t="str">
        <f aca="false">IF(A199,IF(Schedule!I199="","",IF(ISNUMBER(Schedule!I199),IF(Schedule!I199&lt;10,Settings!$B$6&amp;TEXT(Schedule!I199,"#"),Schedule!I199),Schedule!I199)),"")</f>
        <v/>
      </c>
      <c r="N199" s="1" t="str">
        <f aca="false">IF(A199,IF(Schedule!J199="","",Schedule!J199),"")</f>
        <v/>
      </c>
      <c r="O199" s="1" t="str">
        <f aca="false">IF(A199,IF(AND(Settings!$B$14="longtable",NOT(D199)),Settings!$B$15,Settings!$B$3),"")</f>
        <v/>
      </c>
      <c r="P199" s="1" t="str">
        <f aca="false">IF(D199,Settings!$B$4,"")</f>
        <v/>
      </c>
    </row>
    <row r="200" customFormat="false" ht="15" hidden="false" customHeight="false" outlineLevel="0" collapsed="false">
      <c r="A200" s="46" t="b">
        <f aca="false">AND(Dates!F200&lt;&gt;"",ROW()&lt;=Settings!$B$13)</f>
        <v>0</v>
      </c>
      <c r="B200" s="1" t="str">
        <f aca="false">IF(NOT(A200),"",IF(Dates!D200&lt;&gt;"",Dates!D200,IF(ROW()=2,"",B199)))</f>
        <v/>
      </c>
      <c r="C200" s="46" t="b">
        <f aca="false">AND(A200,OR(ROW()=2,B200&lt;&gt;B199))</f>
        <v>0</v>
      </c>
      <c r="D200" s="46" t="b">
        <f aca="false">AND(A200,OR(NOT(A201),B201&lt;&gt;B200))</f>
        <v>0</v>
      </c>
      <c r="E200" s="1" t="n">
        <f aca="false">IF(A200,COUNTIF($B$2:$B$261,B200),0)</f>
        <v>0</v>
      </c>
      <c r="F200" s="1" t="str">
        <f aca="false">IF(A200,Dates!J200,"")</f>
        <v/>
      </c>
      <c r="G200" s="46" t="b">
        <f aca="false">AND(A200,OR(C200,F200&lt;&gt;F199))</f>
        <v>0</v>
      </c>
      <c r="H200" s="1" t="n">
        <f aca="false">IF(A200,COUNTIFS($B$2:$B$261,B200,$F$2:$F$261,F200),0)</f>
        <v>0</v>
      </c>
      <c r="I200" s="1" t="str">
        <f aca="false">IF(C200,"\multirow{"&amp;E200&amp;"}{*}{"&amp;B200&amp;"}","")</f>
        <v/>
      </c>
      <c r="J200" s="1" t="str">
        <f aca="false">IF(G200,IF(H200=1,F200,"\multirow{"&amp;H200&amp;"}{*}{"&amp;F200&amp;"}"),"")</f>
        <v/>
      </c>
      <c r="K200" s="1" t="str">
        <f aca="false">IF(A200,TEXT(Dates!K200,"00"),"")</f>
        <v/>
      </c>
      <c r="L200" s="1" t="str">
        <f aca="false">IF(A200,Dates!H200&amp;IF(C200,Settings!$B$2,""),"")</f>
        <v/>
      </c>
      <c r="M200" s="1" t="str">
        <f aca="false">IF(A200,IF(Schedule!I200="","",IF(ISNUMBER(Schedule!I200),IF(Schedule!I200&lt;10,Settings!$B$6&amp;TEXT(Schedule!I200,"#"),Schedule!I200),Schedule!I200)),"")</f>
        <v/>
      </c>
      <c r="N200" s="1" t="str">
        <f aca="false">IF(A200,IF(Schedule!J200="","",Schedule!J200),"")</f>
        <v/>
      </c>
      <c r="O200" s="1" t="str">
        <f aca="false">IF(A200,IF(AND(Settings!$B$14="longtable",NOT(D200)),Settings!$B$15,Settings!$B$3),"")</f>
        <v/>
      </c>
      <c r="P200" s="1" t="str">
        <f aca="false">IF(D200,Settings!$B$4,"")</f>
        <v/>
      </c>
    </row>
    <row r="201" customFormat="false" ht="15" hidden="false" customHeight="false" outlineLevel="0" collapsed="false">
      <c r="A201" s="46" t="b">
        <f aca="false">AND(Dates!F201&lt;&gt;"",ROW()&lt;=Settings!$B$13)</f>
        <v>0</v>
      </c>
      <c r="B201" s="1" t="str">
        <f aca="false">IF(NOT(A201),"",IF(Dates!D201&lt;&gt;"",Dates!D201,IF(ROW()=2,"",B200)))</f>
        <v/>
      </c>
      <c r="C201" s="46" t="b">
        <f aca="false">AND(A201,OR(ROW()=2,B201&lt;&gt;B200))</f>
        <v>0</v>
      </c>
      <c r="D201" s="46" t="b">
        <f aca="false">AND(A201,OR(NOT(A202),B202&lt;&gt;B201))</f>
        <v>0</v>
      </c>
      <c r="E201" s="1" t="n">
        <f aca="false">IF(A201,COUNTIF($B$2:$B$261,B201),0)</f>
        <v>0</v>
      </c>
      <c r="F201" s="1" t="str">
        <f aca="false">IF(A201,Dates!J201,"")</f>
        <v/>
      </c>
      <c r="G201" s="46" t="b">
        <f aca="false">AND(A201,OR(C201,F201&lt;&gt;F200))</f>
        <v>0</v>
      </c>
      <c r="H201" s="1" t="n">
        <f aca="false">IF(A201,COUNTIFS($B$2:$B$261,B201,$F$2:$F$261,F201),0)</f>
        <v>0</v>
      </c>
      <c r="I201" s="1" t="str">
        <f aca="false">IF(C201,"\multirow{"&amp;E201&amp;"}{*}{"&amp;B201&amp;"}","")</f>
        <v/>
      </c>
      <c r="J201" s="1" t="str">
        <f aca="false">IF(G201,IF(H201=1,F201,"\multirow{"&amp;H201&amp;"}{*}{"&amp;F201&amp;"}"),"")</f>
        <v/>
      </c>
      <c r="K201" s="1" t="str">
        <f aca="false">IF(A201,TEXT(Dates!K201,"00"),"")</f>
        <v/>
      </c>
      <c r="L201" s="1" t="str">
        <f aca="false">IF(A201,Dates!H201&amp;IF(C201,Settings!$B$2,""),"")</f>
        <v/>
      </c>
      <c r="M201" s="1" t="str">
        <f aca="false">IF(A201,IF(Schedule!I201="","",IF(ISNUMBER(Schedule!I201),IF(Schedule!I201&lt;10,Settings!$B$6&amp;TEXT(Schedule!I201,"#"),Schedule!I201),Schedule!I201)),"")</f>
        <v/>
      </c>
      <c r="N201" s="1" t="str">
        <f aca="false">IF(A201,IF(Schedule!J201="","",Schedule!J201),"")</f>
        <v/>
      </c>
      <c r="O201" s="1" t="str">
        <f aca="false">IF(A201,IF(AND(Settings!$B$14="longtable",NOT(D201)),Settings!$B$15,Settings!$B$3),"")</f>
        <v/>
      </c>
      <c r="P201" s="1" t="str">
        <f aca="false">IF(D201,Settings!$B$4,"")</f>
        <v/>
      </c>
    </row>
    <row r="202" customFormat="false" ht="15" hidden="false" customHeight="false" outlineLevel="0" collapsed="false">
      <c r="A202" s="46" t="b">
        <f aca="false">AND(Dates!F202&lt;&gt;"",ROW()&lt;=Settings!$B$13)</f>
        <v>0</v>
      </c>
      <c r="B202" s="1" t="str">
        <f aca="false">IF(NOT(A202),"",IF(Dates!D202&lt;&gt;"",Dates!D202,IF(ROW()=2,"",B201)))</f>
        <v/>
      </c>
      <c r="C202" s="46" t="b">
        <f aca="false">AND(A202,OR(ROW()=2,B202&lt;&gt;B201))</f>
        <v>0</v>
      </c>
      <c r="D202" s="46" t="b">
        <f aca="false">AND(A202,OR(NOT(A203),B203&lt;&gt;B202))</f>
        <v>0</v>
      </c>
      <c r="E202" s="1" t="n">
        <f aca="false">IF(A202,COUNTIF($B$2:$B$261,B202),0)</f>
        <v>0</v>
      </c>
      <c r="F202" s="1" t="str">
        <f aca="false">IF(A202,Dates!J202,"")</f>
        <v/>
      </c>
      <c r="G202" s="46" t="b">
        <f aca="false">AND(A202,OR(C202,F202&lt;&gt;F201))</f>
        <v>0</v>
      </c>
      <c r="H202" s="1" t="n">
        <f aca="false">IF(A202,COUNTIFS($B$2:$B$261,B202,$F$2:$F$261,F202),0)</f>
        <v>0</v>
      </c>
      <c r="I202" s="1" t="str">
        <f aca="false">IF(C202,"\multirow{"&amp;E202&amp;"}{*}{"&amp;B202&amp;"}","")</f>
        <v/>
      </c>
      <c r="J202" s="1" t="str">
        <f aca="false">IF(G202,IF(H202=1,F202,"\multirow{"&amp;H202&amp;"}{*}{"&amp;F202&amp;"}"),"")</f>
        <v/>
      </c>
      <c r="K202" s="1" t="str">
        <f aca="false">IF(A202,TEXT(Dates!K202,"00"),"")</f>
        <v/>
      </c>
      <c r="L202" s="1" t="str">
        <f aca="false">IF(A202,Dates!H202&amp;IF(C202,Settings!$B$2,""),"")</f>
        <v/>
      </c>
      <c r="M202" s="1" t="str">
        <f aca="false">IF(A202,IF(Schedule!I202="","",IF(ISNUMBER(Schedule!I202),IF(Schedule!I202&lt;10,Settings!$B$6&amp;TEXT(Schedule!I202,"#"),Schedule!I202),Schedule!I202)),"")</f>
        <v/>
      </c>
      <c r="N202" s="1" t="str">
        <f aca="false">IF(A202,IF(Schedule!J202="","",Schedule!J202),"")</f>
        <v/>
      </c>
      <c r="O202" s="1" t="str">
        <f aca="false">IF(A202,IF(AND(Settings!$B$14="longtable",NOT(D202)),Settings!$B$15,Settings!$B$3),"")</f>
        <v/>
      </c>
      <c r="P202" s="1" t="str">
        <f aca="false">IF(D202,Settings!$B$4,"")</f>
        <v/>
      </c>
    </row>
    <row r="203" customFormat="false" ht="15" hidden="false" customHeight="false" outlineLevel="0" collapsed="false">
      <c r="A203" s="46" t="b">
        <f aca="false">AND(Dates!F203&lt;&gt;"",ROW()&lt;=Settings!$B$13)</f>
        <v>0</v>
      </c>
      <c r="B203" s="1" t="str">
        <f aca="false">IF(NOT(A203),"",IF(Dates!D203&lt;&gt;"",Dates!D203,IF(ROW()=2,"",B202)))</f>
        <v/>
      </c>
      <c r="C203" s="46" t="b">
        <f aca="false">AND(A203,OR(ROW()=2,B203&lt;&gt;B202))</f>
        <v>0</v>
      </c>
      <c r="D203" s="46" t="b">
        <f aca="false">AND(A203,OR(NOT(A204),B204&lt;&gt;B203))</f>
        <v>0</v>
      </c>
      <c r="E203" s="1" t="n">
        <f aca="false">IF(A203,COUNTIF($B$2:$B$261,B203),0)</f>
        <v>0</v>
      </c>
      <c r="F203" s="1" t="str">
        <f aca="false">IF(A203,Dates!J203,"")</f>
        <v/>
      </c>
      <c r="G203" s="46" t="b">
        <f aca="false">AND(A203,OR(C203,F203&lt;&gt;F202))</f>
        <v>0</v>
      </c>
      <c r="H203" s="1" t="n">
        <f aca="false">IF(A203,COUNTIFS($B$2:$B$261,B203,$F$2:$F$261,F203),0)</f>
        <v>0</v>
      </c>
      <c r="I203" s="1" t="str">
        <f aca="false">IF(C203,"\multirow{"&amp;E203&amp;"}{*}{"&amp;B203&amp;"}","")</f>
        <v/>
      </c>
      <c r="J203" s="1" t="str">
        <f aca="false">IF(G203,IF(H203=1,F203,"\multirow{"&amp;H203&amp;"}{*}{"&amp;F203&amp;"}"),"")</f>
        <v/>
      </c>
      <c r="K203" s="1" t="str">
        <f aca="false">IF(A203,TEXT(Dates!K203,"00"),"")</f>
        <v/>
      </c>
      <c r="L203" s="1" t="str">
        <f aca="false">IF(A203,Dates!H203&amp;IF(C203,Settings!$B$2,""),"")</f>
        <v/>
      </c>
      <c r="M203" s="1" t="str">
        <f aca="false">IF(A203,IF(Schedule!I203="","",IF(ISNUMBER(Schedule!I203),IF(Schedule!I203&lt;10,Settings!$B$6&amp;TEXT(Schedule!I203,"#"),Schedule!I203),Schedule!I203)),"")</f>
        <v/>
      </c>
      <c r="N203" s="1" t="str">
        <f aca="false">IF(A203,IF(Schedule!J203="","",Schedule!J203),"")</f>
        <v/>
      </c>
      <c r="O203" s="1" t="str">
        <f aca="false">IF(A203,IF(AND(Settings!$B$14="longtable",NOT(D203)),Settings!$B$15,Settings!$B$3),"")</f>
        <v/>
      </c>
      <c r="P203" s="1" t="str">
        <f aca="false">IF(D203,Settings!$B$4,"")</f>
        <v/>
      </c>
    </row>
    <row r="204" customFormat="false" ht="15" hidden="false" customHeight="false" outlineLevel="0" collapsed="false">
      <c r="A204" s="46" t="b">
        <f aca="false">AND(Dates!F204&lt;&gt;"",ROW()&lt;=Settings!$B$13)</f>
        <v>0</v>
      </c>
      <c r="B204" s="1" t="str">
        <f aca="false">IF(NOT(A204),"",IF(Dates!D204&lt;&gt;"",Dates!D204,IF(ROW()=2,"",B203)))</f>
        <v/>
      </c>
      <c r="C204" s="46" t="b">
        <f aca="false">AND(A204,OR(ROW()=2,B204&lt;&gt;B203))</f>
        <v>0</v>
      </c>
      <c r="D204" s="46" t="b">
        <f aca="false">AND(A204,OR(NOT(A205),B205&lt;&gt;B204))</f>
        <v>0</v>
      </c>
      <c r="E204" s="1" t="n">
        <f aca="false">IF(A204,COUNTIF($B$2:$B$261,B204),0)</f>
        <v>0</v>
      </c>
      <c r="F204" s="1" t="str">
        <f aca="false">IF(A204,Dates!J204,"")</f>
        <v/>
      </c>
      <c r="G204" s="46" t="b">
        <f aca="false">AND(A204,OR(C204,F204&lt;&gt;F203))</f>
        <v>0</v>
      </c>
      <c r="H204" s="1" t="n">
        <f aca="false">IF(A204,COUNTIFS($B$2:$B$261,B204,$F$2:$F$261,F204),0)</f>
        <v>0</v>
      </c>
      <c r="I204" s="1" t="str">
        <f aca="false">IF(C204,"\multirow{"&amp;E204&amp;"}{*}{"&amp;B204&amp;"}","")</f>
        <v/>
      </c>
      <c r="J204" s="1" t="str">
        <f aca="false">IF(G204,IF(H204=1,F204,"\multirow{"&amp;H204&amp;"}{*}{"&amp;F204&amp;"}"),"")</f>
        <v/>
      </c>
      <c r="K204" s="1" t="str">
        <f aca="false">IF(A204,TEXT(Dates!K204,"00"),"")</f>
        <v/>
      </c>
      <c r="L204" s="1" t="str">
        <f aca="false">IF(A204,Dates!H204&amp;IF(C204,Settings!$B$2,""),"")</f>
        <v/>
      </c>
      <c r="M204" s="1" t="str">
        <f aca="false">IF(A204,IF(Schedule!I204="","",IF(ISNUMBER(Schedule!I204),IF(Schedule!I204&lt;10,Settings!$B$6&amp;TEXT(Schedule!I204,"#"),Schedule!I204),Schedule!I204)),"")</f>
        <v/>
      </c>
      <c r="N204" s="1" t="str">
        <f aca="false">IF(A204,IF(Schedule!J204="","",Schedule!J204),"")</f>
        <v/>
      </c>
      <c r="O204" s="1" t="str">
        <f aca="false">IF(A204,IF(AND(Settings!$B$14="longtable",NOT(D204)),Settings!$B$15,Settings!$B$3),"")</f>
        <v/>
      </c>
      <c r="P204" s="1" t="str">
        <f aca="false">IF(D204,Settings!$B$4,"")</f>
        <v/>
      </c>
    </row>
    <row r="205" customFormat="false" ht="15" hidden="false" customHeight="false" outlineLevel="0" collapsed="false">
      <c r="A205" s="46" t="b">
        <f aca="false">AND(Dates!F205&lt;&gt;"",ROW()&lt;=Settings!$B$13)</f>
        <v>0</v>
      </c>
      <c r="B205" s="1" t="str">
        <f aca="false">IF(NOT(A205),"",IF(Dates!D205&lt;&gt;"",Dates!D205,IF(ROW()=2,"",B204)))</f>
        <v/>
      </c>
      <c r="C205" s="46" t="b">
        <f aca="false">AND(A205,OR(ROW()=2,B205&lt;&gt;B204))</f>
        <v>0</v>
      </c>
      <c r="D205" s="46" t="b">
        <f aca="false">AND(A205,OR(NOT(A206),B206&lt;&gt;B205))</f>
        <v>0</v>
      </c>
      <c r="E205" s="1" t="n">
        <f aca="false">IF(A205,COUNTIF($B$2:$B$261,B205),0)</f>
        <v>0</v>
      </c>
      <c r="F205" s="1" t="str">
        <f aca="false">IF(A205,Dates!J205,"")</f>
        <v/>
      </c>
      <c r="G205" s="46" t="b">
        <f aca="false">AND(A205,OR(C205,F205&lt;&gt;F204))</f>
        <v>0</v>
      </c>
      <c r="H205" s="1" t="n">
        <f aca="false">IF(A205,COUNTIFS($B$2:$B$261,B205,$F$2:$F$261,F205),0)</f>
        <v>0</v>
      </c>
      <c r="I205" s="1" t="str">
        <f aca="false">IF(C205,"\multirow{"&amp;E205&amp;"}{*}{"&amp;B205&amp;"}","")</f>
        <v/>
      </c>
      <c r="J205" s="1" t="str">
        <f aca="false">IF(G205,IF(H205=1,F205,"\multirow{"&amp;H205&amp;"}{*}{"&amp;F205&amp;"}"),"")</f>
        <v/>
      </c>
      <c r="K205" s="1" t="str">
        <f aca="false">IF(A205,TEXT(Dates!K205,"00"),"")</f>
        <v/>
      </c>
      <c r="L205" s="1" t="str">
        <f aca="false">IF(A205,Dates!H205&amp;IF(C205,Settings!$B$2,""),"")</f>
        <v/>
      </c>
      <c r="M205" s="1" t="str">
        <f aca="false">IF(A205,IF(Schedule!I205="","",IF(ISNUMBER(Schedule!I205),IF(Schedule!I205&lt;10,Settings!$B$6&amp;TEXT(Schedule!I205,"#"),Schedule!I205),Schedule!I205)),"")</f>
        <v/>
      </c>
      <c r="N205" s="1" t="str">
        <f aca="false">IF(A205,IF(Schedule!J205="","",Schedule!J205),"")</f>
        <v/>
      </c>
      <c r="O205" s="1" t="str">
        <f aca="false">IF(A205,IF(AND(Settings!$B$14="longtable",NOT(D205)),Settings!$B$15,Settings!$B$3),"")</f>
        <v/>
      </c>
      <c r="P205" s="1" t="str">
        <f aca="false">IF(D205,Settings!$B$4,"")</f>
        <v/>
      </c>
    </row>
    <row r="206" customFormat="false" ht="15" hidden="false" customHeight="false" outlineLevel="0" collapsed="false">
      <c r="A206" s="46" t="b">
        <f aca="false">AND(Dates!F206&lt;&gt;"",ROW()&lt;=Settings!$B$13)</f>
        <v>0</v>
      </c>
      <c r="B206" s="1" t="str">
        <f aca="false">IF(NOT(A206),"",IF(Dates!D206&lt;&gt;"",Dates!D206,IF(ROW()=2,"",B205)))</f>
        <v/>
      </c>
      <c r="C206" s="46" t="b">
        <f aca="false">AND(A206,OR(ROW()=2,B206&lt;&gt;B205))</f>
        <v>0</v>
      </c>
      <c r="D206" s="46" t="b">
        <f aca="false">AND(A206,OR(NOT(A207),B207&lt;&gt;B206))</f>
        <v>0</v>
      </c>
      <c r="E206" s="1" t="n">
        <f aca="false">IF(A206,COUNTIF($B$2:$B$261,B206),0)</f>
        <v>0</v>
      </c>
      <c r="F206" s="1" t="str">
        <f aca="false">IF(A206,Dates!J206,"")</f>
        <v/>
      </c>
      <c r="G206" s="46" t="b">
        <f aca="false">AND(A206,OR(C206,F206&lt;&gt;F205))</f>
        <v>0</v>
      </c>
      <c r="H206" s="1" t="n">
        <f aca="false">IF(A206,COUNTIFS($B$2:$B$261,B206,$F$2:$F$261,F206),0)</f>
        <v>0</v>
      </c>
      <c r="I206" s="1" t="str">
        <f aca="false">IF(C206,"\multirow{"&amp;E206&amp;"}{*}{"&amp;B206&amp;"}","")</f>
        <v/>
      </c>
      <c r="J206" s="1" t="str">
        <f aca="false">IF(G206,IF(H206=1,F206,"\multirow{"&amp;H206&amp;"}{*}{"&amp;F206&amp;"}"),"")</f>
        <v/>
      </c>
      <c r="K206" s="1" t="str">
        <f aca="false">IF(A206,TEXT(Dates!K206,"00"),"")</f>
        <v/>
      </c>
      <c r="L206" s="1" t="str">
        <f aca="false">IF(A206,Dates!H206&amp;IF(C206,Settings!$B$2,""),"")</f>
        <v/>
      </c>
      <c r="M206" s="1" t="str">
        <f aca="false">IF(A206,IF(Schedule!I206="","",IF(ISNUMBER(Schedule!I206),IF(Schedule!I206&lt;10,Settings!$B$6&amp;TEXT(Schedule!I206,"#"),Schedule!I206),Schedule!I206)),"")</f>
        <v/>
      </c>
      <c r="N206" s="1" t="str">
        <f aca="false">IF(A206,IF(Schedule!J206="","",Schedule!J206),"")</f>
        <v/>
      </c>
      <c r="O206" s="1" t="str">
        <f aca="false">IF(A206,IF(AND(Settings!$B$14="longtable",NOT(D206)),Settings!$B$15,Settings!$B$3),"")</f>
        <v/>
      </c>
      <c r="P206" s="1" t="str">
        <f aca="false">IF(D206,Settings!$B$4,"")</f>
        <v/>
      </c>
    </row>
    <row r="207" customFormat="false" ht="15" hidden="false" customHeight="false" outlineLevel="0" collapsed="false">
      <c r="A207" s="46" t="b">
        <f aca="false">AND(Dates!F207&lt;&gt;"",ROW()&lt;=Settings!$B$13)</f>
        <v>0</v>
      </c>
      <c r="B207" s="1" t="str">
        <f aca="false">IF(NOT(A207),"",IF(Dates!D207&lt;&gt;"",Dates!D207,IF(ROW()=2,"",B206)))</f>
        <v/>
      </c>
      <c r="C207" s="46" t="b">
        <f aca="false">AND(A207,OR(ROW()=2,B207&lt;&gt;B206))</f>
        <v>0</v>
      </c>
      <c r="D207" s="46" t="b">
        <f aca="false">AND(A207,OR(NOT(A208),B208&lt;&gt;B207))</f>
        <v>0</v>
      </c>
      <c r="E207" s="1" t="n">
        <f aca="false">IF(A207,COUNTIF($B$2:$B$261,B207),0)</f>
        <v>0</v>
      </c>
      <c r="F207" s="1" t="str">
        <f aca="false">IF(A207,Dates!J207,"")</f>
        <v/>
      </c>
      <c r="G207" s="46" t="b">
        <f aca="false">AND(A207,OR(C207,F207&lt;&gt;F206))</f>
        <v>0</v>
      </c>
      <c r="H207" s="1" t="n">
        <f aca="false">IF(A207,COUNTIFS($B$2:$B$261,B207,$F$2:$F$261,F207),0)</f>
        <v>0</v>
      </c>
      <c r="I207" s="1" t="str">
        <f aca="false">IF(C207,"\multirow{"&amp;E207&amp;"}{*}{"&amp;B207&amp;"}","")</f>
        <v/>
      </c>
      <c r="J207" s="1" t="str">
        <f aca="false">IF(G207,IF(H207=1,F207,"\multirow{"&amp;H207&amp;"}{*}{"&amp;F207&amp;"}"),"")</f>
        <v/>
      </c>
      <c r="K207" s="1" t="str">
        <f aca="false">IF(A207,TEXT(Dates!K207,"00"),"")</f>
        <v/>
      </c>
      <c r="L207" s="1" t="str">
        <f aca="false">IF(A207,Dates!H207&amp;IF(C207,Settings!$B$2,""),"")</f>
        <v/>
      </c>
      <c r="M207" s="1" t="str">
        <f aca="false">IF(A207,IF(Schedule!I207="","",IF(ISNUMBER(Schedule!I207),IF(Schedule!I207&lt;10,Settings!$B$6&amp;TEXT(Schedule!I207,"#"),Schedule!I207),Schedule!I207)),"")</f>
        <v/>
      </c>
      <c r="N207" s="1" t="str">
        <f aca="false">IF(A207,IF(Schedule!J207="","",Schedule!J207),"")</f>
        <v/>
      </c>
      <c r="O207" s="1" t="str">
        <f aca="false">IF(A207,IF(AND(Settings!$B$14="longtable",NOT(D207)),Settings!$B$15,Settings!$B$3),"")</f>
        <v/>
      </c>
      <c r="P207" s="1" t="str">
        <f aca="false">IF(D207,Settings!$B$4,"")</f>
        <v/>
      </c>
    </row>
    <row r="208" customFormat="false" ht="15" hidden="false" customHeight="false" outlineLevel="0" collapsed="false">
      <c r="A208" s="46" t="b">
        <f aca="false">AND(Dates!F208&lt;&gt;"",ROW()&lt;=Settings!$B$13)</f>
        <v>0</v>
      </c>
      <c r="B208" s="1" t="str">
        <f aca="false">IF(NOT(A208),"",IF(Dates!D208&lt;&gt;"",Dates!D208,IF(ROW()=2,"",B207)))</f>
        <v/>
      </c>
      <c r="C208" s="46" t="b">
        <f aca="false">AND(A208,OR(ROW()=2,B208&lt;&gt;B207))</f>
        <v>0</v>
      </c>
      <c r="D208" s="46" t="b">
        <f aca="false">AND(A208,OR(NOT(A209),B209&lt;&gt;B208))</f>
        <v>0</v>
      </c>
      <c r="E208" s="1" t="n">
        <f aca="false">IF(A208,COUNTIF($B$2:$B$261,B208),0)</f>
        <v>0</v>
      </c>
      <c r="F208" s="1" t="str">
        <f aca="false">IF(A208,Dates!J208,"")</f>
        <v/>
      </c>
      <c r="G208" s="46" t="b">
        <f aca="false">AND(A208,OR(C208,F208&lt;&gt;F207))</f>
        <v>0</v>
      </c>
      <c r="H208" s="1" t="n">
        <f aca="false">IF(A208,COUNTIFS($B$2:$B$261,B208,$F$2:$F$261,F208),0)</f>
        <v>0</v>
      </c>
      <c r="I208" s="1" t="str">
        <f aca="false">IF(C208,"\multirow{"&amp;E208&amp;"}{*}{"&amp;B208&amp;"}","")</f>
        <v/>
      </c>
      <c r="J208" s="1" t="str">
        <f aca="false">IF(G208,IF(H208=1,F208,"\multirow{"&amp;H208&amp;"}{*}{"&amp;F208&amp;"}"),"")</f>
        <v/>
      </c>
      <c r="K208" s="1" t="str">
        <f aca="false">IF(A208,TEXT(Dates!K208,"00"),"")</f>
        <v/>
      </c>
      <c r="L208" s="1" t="str">
        <f aca="false">IF(A208,Dates!H208&amp;IF(C208,Settings!$B$2,""),"")</f>
        <v/>
      </c>
      <c r="M208" s="1" t="str">
        <f aca="false">IF(A208,IF(Schedule!I208="","",IF(ISNUMBER(Schedule!I208),IF(Schedule!I208&lt;10,Settings!$B$6&amp;TEXT(Schedule!I208,"#"),Schedule!I208),Schedule!I208)),"")</f>
        <v/>
      </c>
      <c r="N208" s="1" t="str">
        <f aca="false">IF(A208,IF(Schedule!J208="","",Schedule!J208),"")</f>
        <v/>
      </c>
      <c r="O208" s="1" t="str">
        <f aca="false">IF(A208,IF(AND(Settings!$B$14="longtable",NOT(D208)),Settings!$B$15,Settings!$B$3),"")</f>
        <v/>
      </c>
      <c r="P208" s="1" t="str">
        <f aca="false">IF(D208,Settings!$B$4,"")</f>
        <v/>
      </c>
    </row>
    <row r="209" customFormat="false" ht="15" hidden="false" customHeight="false" outlineLevel="0" collapsed="false">
      <c r="A209" s="46" t="b">
        <f aca="false">AND(Dates!F209&lt;&gt;"",ROW()&lt;=Settings!$B$13)</f>
        <v>0</v>
      </c>
      <c r="B209" s="1" t="str">
        <f aca="false">IF(NOT(A209),"",IF(Dates!D209&lt;&gt;"",Dates!D209,IF(ROW()=2,"",B208)))</f>
        <v/>
      </c>
      <c r="C209" s="46" t="b">
        <f aca="false">AND(A209,OR(ROW()=2,B209&lt;&gt;B208))</f>
        <v>0</v>
      </c>
      <c r="D209" s="46" t="b">
        <f aca="false">AND(A209,OR(NOT(A210),B210&lt;&gt;B209))</f>
        <v>0</v>
      </c>
      <c r="E209" s="1" t="n">
        <f aca="false">IF(A209,COUNTIF($B$2:$B$261,B209),0)</f>
        <v>0</v>
      </c>
      <c r="F209" s="1" t="str">
        <f aca="false">IF(A209,Dates!J209,"")</f>
        <v/>
      </c>
      <c r="G209" s="46" t="b">
        <f aca="false">AND(A209,OR(C209,F209&lt;&gt;F208))</f>
        <v>0</v>
      </c>
      <c r="H209" s="1" t="n">
        <f aca="false">IF(A209,COUNTIFS($B$2:$B$261,B209,$F$2:$F$261,F209),0)</f>
        <v>0</v>
      </c>
      <c r="I209" s="1" t="str">
        <f aca="false">IF(C209,"\multirow{"&amp;E209&amp;"}{*}{"&amp;B209&amp;"}","")</f>
        <v/>
      </c>
      <c r="J209" s="1" t="str">
        <f aca="false">IF(G209,IF(H209=1,F209,"\multirow{"&amp;H209&amp;"}{*}{"&amp;F209&amp;"}"),"")</f>
        <v/>
      </c>
      <c r="K209" s="1" t="str">
        <f aca="false">IF(A209,TEXT(Dates!K209,"00"),"")</f>
        <v/>
      </c>
      <c r="L209" s="1" t="str">
        <f aca="false">IF(A209,Dates!H209&amp;IF(C209,Settings!$B$2,""),"")</f>
        <v/>
      </c>
      <c r="M209" s="1" t="str">
        <f aca="false">IF(A209,IF(Schedule!I209="","",IF(ISNUMBER(Schedule!I209),IF(Schedule!I209&lt;10,Settings!$B$6&amp;TEXT(Schedule!I209,"#"),Schedule!I209),Schedule!I209)),"")</f>
        <v/>
      </c>
      <c r="N209" s="1" t="str">
        <f aca="false">IF(A209,IF(Schedule!J209="","",Schedule!J209),"")</f>
        <v/>
      </c>
      <c r="O209" s="1" t="str">
        <f aca="false">IF(A209,IF(AND(Settings!$B$14="longtable",NOT(D209)),Settings!$B$15,Settings!$B$3),"")</f>
        <v/>
      </c>
      <c r="P209" s="1" t="str">
        <f aca="false">IF(D209,Settings!$B$4,"")</f>
        <v/>
      </c>
    </row>
    <row r="210" customFormat="false" ht="15" hidden="false" customHeight="false" outlineLevel="0" collapsed="false">
      <c r="A210" s="46" t="b">
        <f aca="false">AND(Dates!F210&lt;&gt;"",ROW()&lt;=Settings!$B$13)</f>
        <v>0</v>
      </c>
      <c r="B210" s="1" t="str">
        <f aca="false">IF(NOT(A210),"",IF(Dates!D210&lt;&gt;"",Dates!D210,IF(ROW()=2,"",B209)))</f>
        <v/>
      </c>
      <c r="C210" s="46" t="b">
        <f aca="false">AND(A210,OR(ROW()=2,B210&lt;&gt;B209))</f>
        <v>0</v>
      </c>
      <c r="D210" s="46" t="b">
        <f aca="false">AND(A210,OR(NOT(A211),B211&lt;&gt;B210))</f>
        <v>0</v>
      </c>
      <c r="E210" s="1" t="n">
        <f aca="false">IF(A210,COUNTIF($B$2:$B$261,B210),0)</f>
        <v>0</v>
      </c>
      <c r="F210" s="1" t="str">
        <f aca="false">IF(A210,Dates!J210,"")</f>
        <v/>
      </c>
      <c r="G210" s="46" t="b">
        <f aca="false">AND(A210,OR(C210,F210&lt;&gt;F209))</f>
        <v>0</v>
      </c>
      <c r="H210" s="1" t="n">
        <f aca="false">IF(A210,COUNTIFS($B$2:$B$261,B210,$F$2:$F$261,F210),0)</f>
        <v>0</v>
      </c>
      <c r="I210" s="1" t="str">
        <f aca="false">IF(C210,"\multirow{"&amp;E210&amp;"}{*}{"&amp;B210&amp;"}","")</f>
        <v/>
      </c>
      <c r="J210" s="1" t="str">
        <f aca="false">IF(G210,IF(H210=1,F210,"\multirow{"&amp;H210&amp;"}{*}{"&amp;F210&amp;"}"),"")</f>
        <v/>
      </c>
      <c r="K210" s="1" t="str">
        <f aca="false">IF(A210,TEXT(Dates!K210,"00"),"")</f>
        <v/>
      </c>
      <c r="L210" s="1" t="str">
        <f aca="false">IF(A210,Dates!H210&amp;IF(C210,Settings!$B$2,""),"")</f>
        <v/>
      </c>
      <c r="M210" s="1" t="str">
        <f aca="false">IF(A210,IF(Schedule!I210="","",IF(ISNUMBER(Schedule!I210),IF(Schedule!I210&lt;10,Settings!$B$6&amp;TEXT(Schedule!I210,"#"),Schedule!I210),Schedule!I210)),"")</f>
        <v/>
      </c>
      <c r="N210" s="1" t="str">
        <f aca="false">IF(A210,IF(Schedule!J210="","",Schedule!J210),"")</f>
        <v/>
      </c>
      <c r="O210" s="1" t="str">
        <f aca="false">IF(A210,IF(AND(Settings!$B$14="longtable",NOT(D210)),Settings!$B$15,Settings!$B$3),"")</f>
        <v/>
      </c>
      <c r="P210" s="1" t="str">
        <f aca="false">IF(D210,Settings!$B$4,"")</f>
        <v/>
      </c>
    </row>
    <row r="211" customFormat="false" ht="15" hidden="false" customHeight="false" outlineLevel="0" collapsed="false">
      <c r="A211" s="46" t="b">
        <f aca="false">AND(Dates!F211&lt;&gt;"",ROW()&lt;=Settings!$B$13)</f>
        <v>0</v>
      </c>
      <c r="B211" s="1" t="str">
        <f aca="false">IF(NOT(A211),"",IF(Dates!D211&lt;&gt;"",Dates!D211,IF(ROW()=2,"",B210)))</f>
        <v/>
      </c>
      <c r="C211" s="46" t="b">
        <f aca="false">AND(A211,OR(ROW()=2,B211&lt;&gt;B210))</f>
        <v>0</v>
      </c>
      <c r="D211" s="46" t="b">
        <f aca="false">AND(A211,OR(NOT(A212),B212&lt;&gt;B211))</f>
        <v>0</v>
      </c>
      <c r="E211" s="1" t="n">
        <f aca="false">IF(A211,COUNTIF($B$2:$B$261,B211),0)</f>
        <v>0</v>
      </c>
      <c r="F211" s="1" t="str">
        <f aca="false">IF(A211,Dates!J211,"")</f>
        <v/>
      </c>
      <c r="G211" s="46" t="b">
        <f aca="false">AND(A211,OR(C211,F211&lt;&gt;F210))</f>
        <v>0</v>
      </c>
      <c r="H211" s="1" t="n">
        <f aca="false">IF(A211,COUNTIFS($B$2:$B$261,B211,$F$2:$F$261,F211),0)</f>
        <v>0</v>
      </c>
      <c r="I211" s="1" t="str">
        <f aca="false">IF(C211,"\multirow{"&amp;E211&amp;"}{*}{"&amp;B211&amp;"}","")</f>
        <v/>
      </c>
      <c r="J211" s="1" t="str">
        <f aca="false">IF(G211,IF(H211=1,F211,"\multirow{"&amp;H211&amp;"}{*}{"&amp;F211&amp;"}"),"")</f>
        <v/>
      </c>
      <c r="K211" s="1" t="str">
        <f aca="false">IF(A211,TEXT(Dates!K211,"00"),"")</f>
        <v/>
      </c>
      <c r="L211" s="1" t="str">
        <f aca="false">IF(A211,Dates!H211&amp;IF(C211,Settings!$B$2,""),"")</f>
        <v/>
      </c>
      <c r="M211" s="1" t="str">
        <f aca="false">IF(A211,IF(Schedule!I211="","",IF(ISNUMBER(Schedule!I211),IF(Schedule!I211&lt;10,Settings!$B$6&amp;TEXT(Schedule!I211,"#"),Schedule!I211),Schedule!I211)),"")</f>
        <v/>
      </c>
      <c r="N211" s="1" t="str">
        <f aca="false">IF(A211,IF(Schedule!J211="","",Schedule!J211),"")</f>
        <v/>
      </c>
      <c r="O211" s="1" t="str">
        <f aca="false">IF(A211,IF(AND(Settings!$B$14="longtable",NOT(D211)),Settings!$B$15,Settings!$B$3),"")</f>
        <v/>
      </c>
      <c r="P211" s="1" t="str">
        <f aca="false">IF(D211,Settings!$B$4,"")</f>
        <v/>
      </c>
    </row>
    <row r="212" customFormat="false" ht="15" hidden="false" customHeight="false" outlineLevel="0" collapsed="false">
      <c r="A212" s="46" t="b">
        <f aca="false">AND(Dates!F212&lt;&gt;"",ROW()&lt;=Settings!$B$13)</f>
        <v>0</v>
      </c>
      <c r="B212" s="1" t="str">
        <f aca="false">IF(NOT(A212),"",IF(Dates!D212&lt;&gt;"",Dates!D212,IF(ROW()=2,"",B211)))</f>
        <v/>
      </c>
      <c r="C212" s="46" t="b">
        <f aca="false">AND(A212,OR(ROW()=2,B212&lt;&gt;B211))</f>
        <v>0</v>
      </c>
      <c r="D212" s="46" t="b">
        <f aca="false">AND(A212,OR(NOT(A213),B213&lt;&gt;B212))</f>
        <v>0</v>
      </c>
      <c r="E212" s="1" t="n">
        <f aca="false">IF(A212,COUNTIF($B$2:$B$261,B212),0)</f>
        <v>0</v>
      </c>
      <c r="F212" s="1" t="str">
        <f aca="false">IF(A212,Dates!J212,"")</f>
        <v/>
      </c>
      <c r="G212" s="46" t="b">
        <f aca="false">AND(A212,OR(C212,F212&lt;&gt;F211))</f>
        <v>0</v>
      </c>
      <c r="H212" s="1" t="n">
        <f aca="false">IF(A212,COUNTIFS($B$2:$B$261,B212,$F$2:$F$261,F212),0)</f>
        <v>0</v>
      </c>
      <c r="I212" s="1" t="str">
        <f aca="false">IF(C212,"\multirow{"&amp;E212&amp;"}{*}{"&amp;B212&amp;"}","")</f>
        <v/>
      </c>
      <c r="J212" s="1" t="str">
        <f aca="false">IF(G212,IF(H212=1,F212,"\multirow{"&amp;H212&amp;"}{*}{"&amp;F212&amp;"}"),"")</f>
        <v/>
      </c>
      <c r="K212" s="1" t="str">
        <f aca="false">IF(A212,TEXT(Dates!K212,"00"),"")</f>
        <v/>
      </c>
      <c r="L212" s="1" t="str">
        <f aca="false">IF(A212,Dates!H212&amp;IF(C212,Settings!$B$2,""),"")</f>
        <v/>
      </c>
      <c r="M212" s="1" t="str">
        <f aca="false">IF(A212,IF(Schedule!I212="","",IF(ISNUMBER(Schedule!I212),IF(Schedule!I212&lt;10,Settings!$B$6&amp;TEXT(Schedule!I212,"#"),Schedule!I212),Schedule!I212)),"")</f>
        <v/>
      </c>
      <c r="N212" s="1" t="str">
        <f aca="false">IF(A212,IF(Schedule!J212="","",Schedule!J212),"")</f>
        <v/>
      </c>
      <c r="O212" s="1" t="str">
        <f aca="false">IF(A212,IF(AND(Settings!$B$14="longtable",NOT(D212)),Settings!$B$15,Settings!$B$3),"")</f>
        <v/>
      </c>
      <c r="P212" s="1" t="str">
        <f aca="false">IF(D212,Settings!$B$4,"")</f>
        <v/>
      </c>
    </row>
    <row r="213" customFormat="false" ht="15" hidden="false" customHeight="false" outlineLevel="0" collapsed="false">
      <c r="A213" s="46" t="b">
        <f aca="false">AND(Dates!F213&lt;&gt;"",ROW()&lt;=Settings!$B$13)</f>
        <v>0</v>
      </c>
      <c r="B213" s="1" t="str">
        <f aca="false">IF(NOT(A213),"",IF(Dates!D213&lt;&gt;"",Dates!D213,IF(ROW()=2,"",B212)))</f>
        <v/>
      </c>
      <c r="C213" s="46" t="b">
        <f aca="false">AND(A213,OR(ROW()=2,B213&lt;&gt;B212))</f>
        <v>0</v>
      </c>
      <c r="D213" s="46" t="b">
        <f aca="false">AND(A213,OR(NOT(A214),B214&lt;&gt;B213))</f>
        <v>0</v>
      </c>
      <c r="E213" s="1" t="n">
        <f aca="false">IF(A213,COUNTIF($B$2:$B$261,B213),0)</f>
        <v>0</v>
      </c>
      <c r="F213" s="1" t="str">
        <f aca="false">IF(A213,Dates!J213,"")</f>
        <v/>
      </c>
      <c r="G213" s="46" t="b">
        <f aca="false">AND(A213,OR(C213,F213&lt;&gt;F212))</f>
        <v>0</v>
      </c>
      <c r="H213" s="1" t="n">
        <f aca="false">IF(A213,COUNTIFS($B$2:$B$261,B213,$F$2:$F$261,F213),0)</f>
        <v>0</v>
      </c>
      <c r="I213" s="1" t="str">
        <f aca="false">IF(C213,"\multirow{"&amp;E213&amp;"}{*}{"&amp;B213&amp;"}","")</f>
        <v/>
      </c>
      <c r="J213" s="1" t="str">
        <f aca="false">IF(G213,IF(H213=1,F213,"\multirow{"&amp;H213&amp;"}{*}{"&amp;F213&amp;"}"),"")</f>
        <v/>
      </c>
      <c r="K213" s="1" t="str">
        <f aca="false">IF(A213,TEXT(Dates!K213,"00"),"")</f>
        <v/>
      </c>
      <c r="L213" s="1" t="str">
        <f aca="false">IF(A213,Dates!H213&amp;IF(C213,Settings!$B$2,""),"")</f>
        <v/>
      </c>
      <c r="M213" s="1" t="str">
        <f aca="false">IF(A213,IF(Schedule!I213="","",IF(ISNUMBER(Schedule!I213),IF(Schedule!I213&lt;10,Settings!$B$6&amp;TEXT(Schedule!I213,"#"),Schedule!I213),Schedule!I213)),"")</f>
        <v/>
      </c>
      <c r="N213" s="1" t="str">
        <f aca="false">IF(A213,IF(Schedule!J213="","",Schedule!J213),"")</f>
        <v/>
      </c>
      <c r="O213" s="1" t="str">
        <f aca="false">IF(A213,IF(AND(Settings!$B$14="longtable",NOT(D213)),Settings!$B$15,Settings!$B$3),"")</f>
        <v/>
      </c>
      <c r="P213" s="1" t="str">
        <f aca="false">IF(D213,Settings!$B$4,"")</f>
        <v/>
      </c>
    </row>
    <row r="214" customFormat="false" ht="15" hidden="false" customHeight="false" outlineLevel="0" collapsed="false">
      <c r="A214" s="46" t="b">
        <f aca="false">AND(Dates!F214&lt;&gt;"",ROW()&lt;=Settings!$B$13)</f>
        <v>0</v>
      </c>
      <c r="B214" s="1" t="str">
        <f aca="false">IF(NOT(A214),"",IF(Dates!D214&lt;&gt;"",Dates!D214,IF(ROW()=2,"",B213)))</f>
        <v/>
      </c>
      <c r="C214" s="46" t="b">
        <f aca="false">AND(A214,OR(ROW()=2,B214&lt;&gt;B213))</f>
        <v>0</v>
      </c>
      <c r="D214" s="46" t="b">
        <f aca="false">AND(A214,OR(NOT(A215),B215&lt;&gt;B214))</f>
        <v>0</v>
      </c>
      <c r="E214" s="1" t="n">
        <f aca="false">IF(A214,COUNTIF($B$2:$B$261,B214),0)</f>
        <v>0</v>
      </c>
      <c r="F214" s="1" t="str">
        <f aca="false">IF(A214,Dates!J214,"")</f>
        <v/>
      </c>
      <c r="G214" s="46" t="b">
        <f aca="false">AND(A214,OR(C214,F214&lt;&gt;F213))</f>
        <v>0</v>
      </c>
      <c r="H214" s="1" t="n">
        <f aca="false">IF(A214,COUNTIFS($B$2:$B$261,B214,$F$2:$F$261,F214),0)</f>
        <v>0</v>
      </c>
      <c r="I214" s="1" t="str">
        <f aca="false">IF(C214,"\multirow{"&amp;E214&amp;"}{*}{"&amp;B214&amp;"}","")</f>
        <v/>
      </c>
      <c r="J214" s="1" t="str">
        <f aca="false">IF(G214,IF(H214=1,F214,"\multirow{"&amp;H214&amp;"}{*}{"&amp;F214&amp;"}"),"")</f>
        <v/>
      </c>
      <c r="K214" s="1" t="str">
        <f aca="false">IF(A214,TEXT(Dates!K214,"00"),"")</f>
        <v/>
      </c>
      <c r="L214" s="1" t="str">
        <f aca="false">IF(A214,Dates!H214&amp;IF(C214,Settings!$B$2,""),"")</f>
        <v/>
      </c>
      <c r="M214" s="1" t="str">
        <f aca="false">IF(A214,IF(Schedule!I214="","",IF(ISNUMBER(Schedule!I214),IF(Schedule!I214&lt;10,Settings!$B$6&amp;TEXT(Schedule!I214,"#"),Schedule!I214),Schedule!I214)),"")</f>
        <v/>
      </c>
      <c r="N214" s="1" t="str">
        <f aca="false">IF(A214,IF(Schedule!J214="","",Schedule!J214),"")</f>
        <v/>
      </c>
      <c r="O214" s="1" t="str">
        <f aca="false">IF(A214,IF(AND(Settings!$B$14="longtable",NOT(D214)),Settings!$B$15,Settings!$B$3),"")</f>
        <v/>
      </c>
      <c r="P214" s="1" t="str">
        <f aca="false">IF(D214,Settings!$B$4,"")</f>
        <v/>
      </c>
    </row>
    <row r="215" customFormat="false" ht="15" hidden="false" customHeight="false" outlineLevel="0" collapsed="false">
      <c r="A215" s="46" t="b">
        <f aca="false">AND(Dates!F215&lt;&gt;"",ROW()&lt;=Settings!$B$13)</f>
        <v>0</v>
      </c>
      <c r="B215" s="1" t="str">
        <f aca="false">IF(NOT(A215),"",IF(Dates!D215&lt;&gt;"",Dates!D215,IF(ROW()=2,"",B214)))</f>
        <v/>
      </c>
      <c r="C215" s="46" t="b">
        <f aca="false">AND(A215,OR(ROW()=2,B215&lt;&gt;B214))</f>
        <v>0</v>
      </c>
      <c r="D215" s="46" t="b">
        <f aca="false">AND(A215,OR(NOT(A216),B216&lt;&gt;B215))</f>
        <v>0</v>
      </c>
      <c r="E215" s="1" t="n">
        <f aca="false">IF(A215,COUNTIF($B$2:$B$261,B215),0)</f>
        <v>0</v>
      </c>
      <c r="F215" s="1" t="str">
        <f aca="false">IF(A215,Dates!J215,"")</f>
        <v/>
      </c>
      <c r="G215" s="46" t="b">
        <f aca="false">AND(A215,OR(C215,F215&lt;&gt;F214))</f>
        <v>0</v>
      </c>
      <c r="H215" s="1" t="n">
        <f aca="false">IF(A215,COUNTIFS($B$2:$B$261,B215,$F$2:$F$261,F215),0)</f>
        <v>0</v>
      </c>
      <c r="I215" s="1" t="str">
        <f aca="false">IF(C215,"\multirow{"&amp;E215&amp;"}{*}{"&amp;B215&amp;"}","")</f>
        <v/>
      </c>
      <c r="J215" s="1" t="str">
        <f aca="false">IF(G215,IF(H215=1,F215,"\multirow{"&amp;H215&amp;"}{*}{"&amp;F215&amp;"}"),"")</f>
        <v/>
      </c>
      <c r="K215" s="1" t="str">
        <f aca="false">IF(A215,TEXT(Dates!K215,"00"),"")</f>
        <v/>
      </c>
      <c r="L215" s="1" t="str">
        <f aca="false">IF(A215,Dates!H215&amp;IF(C215,Settings!$B$2,""),"")</f>
        <v/>
      </c>
      <c r="M215" s="1" t="str">
        <f aca="false">IF(A215,IF(Schedule!I215="","",IF(ISNUMBER(Schedule!I215),IF(Schedule!I215&lt;10,Settings!$B$6&amp;TEXT(Schedule!I215,"#"),Schedule!I215),Schedule!I215)),"")</f>
        <v/>
      </c>
      <c r="N215" s="1" t="str">
        <f aca="false">IF(A215,IF(Schedule!J215="","",Schedule!J215),"")</f>
        <v/>
      </c>
      <c r="O215" s="1" t="str">
        <f aca="false">IF(A215,IF(AND(Settings!$B$14="longtable",NOT(D215)),Settings!$B$15,Settings!$B$3),"")</f>
        <v/>
      </c>
      <c r="P215" s="1" t="str">
        <f aca="false">IF(D215,Settings!$B$4,"")</f>
        <v/>
      </c>
    </row>
    <row r="216" customFormat="false" ht="15" hidden="false" customHeight="false" outlineLevel="0" collapsed="false">
      <c r="A216" s="46" t="b">
        <f aca="false">AND(Dates!F216&lt;&gt;"",ROW()&lt;=Settings!$B$13)</f>
        <v>0</v>
      </c>
      <c r="B216" s="1" t="str">
        <f aca="false">IF(NOT(A216),"",IF(Dates!D216&lt;&gt;"",Dates!D216,IF(ROW()=2,"",B215)))</f>
        <v/>
      </c>
      <c r="C216" s="46" t="b">
        <f aca="false">AND(A216,OR(ROW()=2,B216&lt;&gt;B215))</f>
        <v>0</v>
      </c>
      <c r="D216" s="46" t="b">
        <f aca="false">AND(A216,OR(NOT(A217),B217&lt;&gt;B216))</f>
        <v>0</v>
      </c>
      <c r="E216" s="1" t="n">
        <f aca="false">IF(A216,COUNTIF($B$2:$B$261,B216),0)</f>
        <v>0</v>
      </c>
      <c r="F216" s="1" t="str">
        <f aca="false">IF(A216,Dates!J216,"")</f>
        <v/>
      </c>
      <c r="G216" s="46" t="b">
        <f aca="false">AND(A216,OR(C216,F216&lt;&gt;F215))</f>
        <v>0</v>
      </c>
      <c r="H216" s="1" t="n">
        <f aca="false">IF(A216,COUNTIFS($B$2:$B$261,B216,$F$2:$F$261,F216),0)</f>
        <v>0</v>
      </c>
      <c r="I216" s="1" t="str">
        <f aca="false">IF(C216,"\multirow{"&amp;E216&amp;"}{*}{"&amp;B216&amp;"}","")</f>
        <v/>
      </c>
      <c r="J216" s="1" t="str">
        <f aca="false">IF(G216,IF(H216=1,F216,"\multirow{"&amp;H216&amp;"}{*}{"&amp;F216&amp;"}"),"")</f>
        <v/>
      </c>
      <c r="K216" s="1" t="str">
        <f aca="false">IF(A216,TEXT(Dates!K216,"00"),"")</f>
        <v/>
      </c>
      <c r="L216" s="1" t="str">
        <f aca="false">IF(A216,Dates!H216&amp;IF(C216,Settings!$B$2,""),"")</f>
        <v/>
      </c>
      <c r="M216" s="1" t="str">
        <f aca="false">IF(A216,IF(Schedule!I216="","",IF(ISNUMBER(Schedule!I216),IF(Schedule!I216&lt;10,Settings!$B$6&amp;TEXT(Schedule!I216,"#"),Schedule!I216),Schedule!I216)),"")</f>
        <v/>
      </c>
      <c r="N216" s="1" t="str">
        <f aca="false">IF(A216,IF(Schedule!J216="","",Schedule!J216),"")</f>
        <v/>
      </c>
      <c r="O216" s="1" t="str">
        <f aca="false">IF(A216,IF(AND(Settings!$B$14="longtable",NOT(D216)),Settings!$B$15,Settings!$B$3),"")</f>
        <v/>
      </c>
      <c r="P216" s="1" t="str">
        <f aca="false">IF(D216,Settings!$B$4,"")</f>
        <v/>
      </c>
    </row>
    <row r="217" customFormat="false" ht="15" hidden="false" customHeight="false" outlineLevel="0" collapsed="false">
      <c r="A217" s="46" t="b">
        <f aca="false">AND(Dates!F217&lt;&gt;"",ROW()&lt;=Settings!$B$13)</f>
        <v>0</v>
      </c>
      <c r="B217" s="1" t="str">
        <f aca="false">IF(NOT(A217),"",IF(Dates!D217&lt;&gt;"",Dates!D217,IF(ROW()=2,"",B216)))</f>
        <v/>
      </c>
      <c r="C217" s="46" t="b">
        <f aca="false">AND(A217,OR(ROW()=2,B217&lt;&gt;B216))</f>
        <v>0</v>
      </c>
      <c r="D217" s="46" t="b">
        <f aca="false">AND(A217,OR(NOT(A218),B218&lt;&gt;B217))</f>
        <v>0</v>
      </c>
      <c r="E217" s="1" t="n">
        <f aca="false">IF(A217,COUNTIF($B$2:$B$261,B217),0)</f>
        <v>0</v>
      </c>
      <c r="F217" s="1" t="str">
        <f aca="false">IF(A217,Dates!J217,"")</f>
        <v/>
      </c>
      <c r="G217" s="46" t="b">
        <f aca="false">AND(A217,OR(C217,F217&lt;&gt;F216))</f>
        <v>0</v>
      </c>
      <c r="H217" s="1" t="n">
        <f aca="false">IF(A217,COUNTIFS($B$2:$B$261,B217,$F$2:$F$261,F217),0)</f>
        <v>0</v>
      </c>
      <c r="I217" s="1" t="str">
        <f aca="false">IF(C217,"\multirow{"&amp;E217&amp;"}{*}{"&amp;B217&amp;"}","")</f>
        <v/>
      </c>
      <c r="J217" s="1" t="str">
        <f aca="false">IF(G217,IF(H217=1,F217,"\multirow{"&amp;H217&amp;"}{*}{"&amp;F217&amp;"}"),"")</f>
        <v/>
      </c>
      <c r="K217" s="1" t="str">
        <f aca="false">IF(A217,TEXT(Dates!K217,"00"),"")</f>
        <v/>
      </c>
      <c r="L217" s="1" t="str">
        <f aca="false">IF(A217,Dates!H217&amp;IF(C217,Settings!$B$2,""),"")</f>
        <v/>
      </c>
      <c r="M217" s="1" t="str">
        <f aca="false">IF(A217,IF(Schedule!I217="","",IF(ISNUMBER(Schedule!I217),IF(Schedule!I217&lt;10,Settings!$B$6&amp;TEXT(Schedule!I217,"#"),Schedule!I217),Schedule!I217)),"")</f>
        <v/>
      </c>
      <c r="N217" s="1" t="str">
        <f aca="false">IF(A217,IF(Schedule!J217="","",Schedule!J217),"")</f>
        <v/>
      </c>
      <c r="O217" s="1" t="str">
        <f aca="false">IF(A217,IF(AND(Settings!$B$14="longtable",NOT(D217)),Settings!$B$15,Settings!$B$3),"")</f>
        <v/>
      </c>
      <c r="P217" s="1" t="str">
        <f aca="false">IF(D217,Settings!$B$4,"")</f>
        <v/>
      </c>
    </row>
    <row r="218" customFormat="false" ht="15" hidden="false" customHeight="false" outlineLevel="0" collapsed="false">
      <c r="A218" s="46" t="b">
        <f aca="false">AND(Dates!F218&lt;&gt;"",ROW()&lt;=Settings!$B$13)</f>
        <v>0</v>
      </c>
      <c r="B218" s="1" t="str">
        <f aca="false">IF(NOT(A218),"",IF(Dates!D218&lt;&gt;"",Dates!D218,IF(ROW()=2,"",B217)))</f>
        <v/>
      </c>
      <c r="C218" s="46" t="b">
        <f aca="false">AND(A218,OR(ROW()=2,B218&lt;&gt;B217))</f>
        <v>0</v>
      </c>
      <c r="D218" s="46" t="b">
        <f aca="false">AND(A218,OR(NOT(A219),B219&lt;&gt;B218))</f>
        <v>0</v>
      </c>
      <c r="E218" s="1" t="n">
        <f aca="false">IF(A218,COUNTIF($B$2:$B$261,B218),0)</f>
        <v>0</v>
      </c>
      <c r="F218" s="1" t="str">
        <f aca="false">IF(A218,Dates!J218,"")</f>
        <v/>
      </c>
      <c r="G218" s="46" t="b">
        <f aca="false">AND(A218,OR(C218,F218&lt;&gt;F217))</f>
        <v>0</v>
      </c>
      <c r="H218" s="1" t="n">
        <f aca="false">IF(A218,COUNTIFS($B$2:$B$261,B218,$F$2:$F$261,F218),0)</f>
        <v>0</v>
      </c>
      <c r="I218" s="1" t="str">
        <f aca="false">IF(C218,"\multirow{"&amp;E218&amp;"}{*}{"&amp;B218&amp;"}","")</f>
        <v/>
      </c>
      <c r="J218" s="1" t="str">
        <f aca="false">IF(G218,IF(H218=1,F218,"\multirow{"&amp;H218&amp;"}{*}{"&amp;F218&amp;"}"),"")</f>
        <v/>
      </c>
      <c r="K218" s="1" t="str">
        <f aca="false">IF(A218,TEXT(Dates!K218,"00"),"")</f>
        <v/>
      </c>
      <c r="L218" s="1" t="str">
        <f aca="false">IF(A218,Dates!H218&amp;IF(C218,Settings!$B$2,""),"")</f>
        <v/>
      </c>
      <c r="M218" s="1" t="str">
        <f aca="false">IF(A218,IF(Schedule!I218="","",IF(ISNUMBER(Schedule!I218),IF(Schedule!I218&lt;10,Settings!$B$6&amp;TEXT(Schedule!I218,"#"),Schedule!I218),Schedule!I218)),"")</f>
        <v/>
      </c>
      <c r="N218" s="1" t="str">
        <f aca="false">IF(A218,IF(Schedule!J218="","",Schedule!J218),"")</f>
        <v/>
      </c>
      <c r="O218" s="1" t="str">
        <f aca="false">IF(A218,IF(AND(Settings!$B$14="longtable",NOT(D218)),Settings!$B$15,Settings!$B$3),"")</f>
        <v/>
      </c>
      <c r="P218" s="1" t="str">
        <f aca="false">IF(D218,Settings!$B$4,"")</f>
        <v/>
      </c>
    </row>
    <row r="219" customFormat="false" ht="15" hidden="false" customHeight="false" outlineLevel="0" collapsed="false">
      <c r="A219" s="46" t="b">
        <f aca="false">AND(Dates!F219&lt;&gt;"",ROW()&lt;=Settings!$B$13)</f>
        <v>0</v>
      </c>
      <c r="B219" s="1" t="str">
        <f aca="false">IF(NOT(A219),"",IF(Dates!D219&lt;&gt;"",Dates!D219,IF(ROW()=2,"",B218)))</f>
        <v/>
      </c>
      <c r="C219" s="46" t="b">
        <f aca="false">AND(A219,OR(ROW()=2,B219&lt;&gt;B218))</f>
        <v>0</v>
      </c>
      <c r="D219" s="46" t="b">
        <f aca="false">AND(A219,OR(NOT(A220),B220&lt;&gt;B219))</f>
        <v>0</v>
      </c>
      <c r="E219" s="1" t="n">
        <f aca="false">IF(A219,COUNTIF($B$2:$B$261,B219),0)</f>
        <v>0</v>
      </c>
      <c r="F219" s="1" t="str">
        <f aca="false">IF(A219,Dates!J219,"")</f>
        <v/>
      </c>
      <c r="G219" s="46" t="b">
        <f aca="false">AND(A219,OR(C219,F219&lt;&gt;F218))</f>
        <v>0</v>
      </c>
      <c r="H219" s="1" t="n">
        <f aca="false">IF(A219,COUNTIFS($B$2:$B$261,B219,$F$2:$F$261,F219),0)</f>
        <v>0</v>
      </c>
      <c r="I219" s="1" t="str">
        <f aca="false">IF(C219,"\multirow{"&amp;E219&amp;"}{*}{"&amp;B219&amp;"}","")</f>
        <v/>
      </c>
      <c r="J219" s="1" t="str">
        <f aca="false">IF(G219,IF(H219=1,F219,"\multirow{"&amp;H219&amp;"}{*}{"&amp;F219&amp;"}"),"")</f>
        <v/>
      </c>
      <c r="K219" s="1" t="str">
        <f aca="false">IF(A219,TEXT(Dates!K219,"00"),"")</f>
        <v/>
      </c>
      <c r="L219" s="1" t="str">
        <f aca="false">IF(A219,Dates!H219&amp;IF(C219,Settings!$B$2,""),"")</f>
        <v/>
      </c>
      <c r="M219" s="1" t="str">
        <f aca="false">IF(A219,IF(Schedule!I219="","",IF(ISNUMBER(Schedule!I219),IF(Schedule!I219&lt;10,Settings!$B$6&amp;TEXT(Schedule!I219,"#"),Schedule!I219),Schedule!I219)),"")</f>
        <v/>
      </c>
      <c r="N219" s="1" t="str">
        <f aca="false">IF(A219,IF(Schedule!J219="","",Schedule!J219),"")</f>
        <v/>
      </c>
      <c r="O219" s="1" t="str">
        <f aca="false">IF(A219,IF(AND(Settings!$B$14="longtable",NOT(D219)),Settings!$B$15,Settings!$B$3),"")</f>
        <v/>
      </c>
      <c r="P219" s="1" t="str">
        <f aca="false">IF(D219,Settings!$B$4,"")</f>
        <v/>
      </c>
    </row>
    <row r="220" customFormat="false" ht="15" hidden="false" customHeight="false" outlineLevel="0" collapsed="false">
      <c r="A220" s="46" t="b">
        <f aca="false">AND(Dates!F220&lt;&gt;"",ROW()&lt;=Settings!$B$13)</f>
        <v>0</v>
      </c>
      <c r="B220" s="1" t="str">
        <f aca="false">IF(NOT(A220),"",IF(Dates!D220&lt;&gt;"",Dates!D220,IF(ROW()=2,"",B219)))</f>
        <v/>
      </c>
      <c r="C220" s="46" t="b">
        <f aca="false">AND(A220,OR(ROW()=2,B220&lt;&gt;B219))</f>
        <v>0</v>
      </c>
      <c r="D220" s="46" t="b">
        <f aca="false">AND(A220,OR(NOT(A221),B221&lt;&gt;B220))</f>
        <v>0</v>
      </c>
      <c r="E220" s="1" t="n">
        <f aca="false">IF(A220,COUNTIF($B$2:$B$261,B220),0)</f>
        <v>0</v>
      </c>
      <c r="F220" s="1" t="str">
        <f aca="false">IF(A220,Dates!J220,"")</f>
        <v/>
      </c>
      <c r="G220" s="46" t="b">
        <f aca="false">AND(A220,OR(C220,F220&lt;&gt;F219))</f>
        <v>0</v>
      </c>
      <c r="H220" s="1" t="n">
        <f aca="false">IF(A220,COUNTIFS($B$2:$B$261,B220,$F$2:$F$261,F220),0)</f>
        <v>0</v>
      </c>
      <c r="I220" s="1" t="str">
        <f aca="false">IF(C220,"\multirow{"&amp;E220&amp;"}{*}{"&amp;B220&amp;"}","")</f>
        <v/>
      </c>
      <c r="J220" s="1" t="str">
        <f aca="false">IF(G220,IF(H220=1,F220,"\multirow{"&amp;H220&amp;"}{*}{"&amp;F220&amp;"}"),"")</f>
        <v/>
      </c>
      <c r="K220" s="1" t="str">
        <f aca="false">IF(A220,TEXT(Dates!K220,"00"),"")</f>
        <v/>
      </c>
      <c r="L220" s="1" t="str">
        <f aca="false">IF(A220,Dates!H220&amp;IF(C220,Settings!$B$2,""),"")</f>
        <v/>
      </c>
      <c r="M220" s="1" t="str">
        <f aca="false">IF(A220,IF(Schedule!I220="","",IF(ISNUMBER(Schedule!I220),IF(Schedule!I220&lt;10,Settings!$B$6&amp;TEXT(Schedule!I220,"#"),Schedule!I220),Schedule!I220)),"")</f>
        <v/>
      </c>
      <c r="N220" s="1" t="str">
        <f aca="false">IF(A220,IF(Schedule!J220="","",Schedule!J220),"")</f>
        <v/>
      </c>
      <c r="O220" s="1" t="str">
        <f aca="false">IF(A220,IF(AND(Settings!$B$14="longtable",NOT(D220)),Settings!$B$15,Settings!$B$3),"")</f>
        <v/>
      </c>
      <c r="P220" s="1" t="str">
        <f aca="false">IF(D220,Settings!$B$4,"")</f>
        <v/>
      </c>
    </row>
    <row r="221" customFormat="false" ht="15" hidden="false" customHeight="false" outlineLevel="0" collapsed="false">
      <c r="A221" s="46" t="b">
        <f aca="false">AND(Dates!F221&lt;&gt;"",ROW()&lt;=Settings!$B$13)</f>
        <v>0</v>
      </c>
      <c r="B221" s="1" t="str">
        <f aca="false">IF(NOT(A221),"",IF(Dates!D221&lt;&gt;"",Dates!D221,IF(ROW()=2,"",B220)))</f>
        <v/>
      </c>
      <c r="C221" s="46" t="b">
        <f aca="false">AND(A221,OR(ROW()=2,B221&lt;&gt;B220))</f>
        <v>0</v>
      </c>
      <c r="D221" s="46" t="b">
        <f aca="false">AND(A221,OR(NOT(A222),B222&lt;&gt;B221))</f>
        <v>0</v>
      </c>
      <c r="E221" s="1" t="n">
        <f aca="false">IF(A221,COUNTIF($B$2:$B$261,B221),0)</f>
        <v>0</v>
      </c>
      <c r="F221" s="1" t="str">
        <f aca="false">IF(A221,Dates!J221,"")</f>
        <v/>
      </c>
      <c r="G221" s="46" t="b">
        <f aca="false">AND(A221,OR(C221,F221&lt;&gt;F220))</f>
        <v>0</v>
      </c>
      <c r="H221" s="1" t="n">
        <f aca="false">IF(A221,COUNTIFS($B$2:$B$261,B221,$F$2:$F$261,F221),0)</f>
        <v>0</v>
      </c>
      <c r="I221" s="1" t="str">
        <f aca="false">IF(C221,"\multirow{"&amp;E221&amp;"}{*}{"&amp;B221&amp;"}","")</f>
        <v/>
      </c>
      <c r="J221" s="1" t="str">
        <f aca="false">IF(G221,IF(H221=1,F221,"\multirow{"&amp;H221&amp;"}{*}{"&amp;F221&amp;"}"),"")</f>
        <v/>
      </c>
      <c r="K221" s="1" t="str">
        <f aca="false">IF(A221,TEXT(Dates!K221,"00"),"")</f>
        <v/>
      </c>
      <c r="L221" s="1" t="str">
        <f aca="false">IF(A221,Dates!H221&amp;IF(C221,Settings!$B$2,""),"")</f>
        <v/>
      </c>
      <c r="M221" s="1" t="str">
        <f aca="false">IF(A221,IF(Schedule!I221="","",IF(ISNUMBER(Schedule!I221),IF(Schedule!I221&lt;10,Settings!$B$6&amp;TEXT(Schedule!I221,"#"),Schedule!I221),Schedule!I221)),"")</f>
        <v/>
      </c>
      <c r="N221" s="1" t="str">
        <f aca="false">IF(A221,IF(Schedule!J221="","",Schedule!J221),"")</f>
        <v/>
      </c>
      <c r="O221" s="1" t="str">
        <f aca="false">IF(A221,IF(AND(Settings!$B$14="longtable",NOT(D221)),Settings!$B$15,Settings!$B$3),"")</f>
        <v/>
      </c>
      <c r="P221" s="1" t="str">
        <f aca="false">IF(D221,Settings!$B$4,"")</f>
        <v/>
      </c>
    </row>
    <row r="222" customFormat="false" ht="15" hidden="false" customHeight="false" outlineLevel="0" collapsed="false">
      <c r="A222" s="46" t="b">
        <f aca="false">AND(Dates!F222&lt;&gt;"",ROW()&lt;=Settings!$B$13)</f>
        <v>0</v>
      </c>
      <c r="B222" s="1" t="str">
        <f aca="false">IF(NOT(A222),"",IF(Dates!D222&lt;&gt;"",Dates!D222,IF(ROW()=2,"",B221)))</f>
        <v/>
      </c>
      <c r="C222" s="46" t="b">
        <f aca="false">AND(A222,OR(ROW()=2,B222&lt;&gt;B221))</f>
        <v>0</v>
      </c>
      <c r="D222" s="46" t="b">
        <f aca="false">AND(A222,OR(NOT(A223),B223&lt;&gt;B222))</f>
        <v>0</v>
      </c>
      <c r="E222" s="1" t="n">
        <f aca="false">IF(A222,COUNTIF($B$2:$B$261,B222),0)</f>
        <v>0</v>
      </c>
      <c r="F222" s="1" t="str">
        <f aca="false">IF(A222,Dates!J222,"")</f>
        <v/>
      </c>
      <c r="G222" s="46" t="b">
        <f aca="false">AND(A222,OR(C222,F222&lt;&gt;F221))</f>
        <v>0</v>
      </c>
      <c r="H222" s="1" t="n">
        <f aca="false">IF(A222,COUNTIFS($B$2:$B$261,B222,$F$2:$F$261,F222),0)</f>
        <v>0</v>
      </c>
      <c r="I222" s="1" t="str">
        <f aca="false">IF(C222,"\multirow{"&amp;E222&amp;"}{*}{"&amp;B222&amp;"}","")</f>
        <v/>
      </c>
      <c r="J222" s="1" t="str">
        <f aca="false">IF(G222,IF(H222=1,F222,"\multirow{"&amp;H222&amp;"}{*}{"&amp;F222&amp;"}"),"")</f>
        <v/>
      </c>
      <c r="K222" s="1" t="str">
        <f aca="false">IF(A222,TEXT(Dates!K222,"00"),"")</f>
        <v/>
      </c>
      <c r="L222" s="1" t="str">
        <f aca="false">IF(A222,Dates!H222&amp;IF(C222,Settings!$B$2,""),"")</f>
        <v/>
      </c>
      <c r="M222" s="1" t="str">
        <f aca="false">IF(A222,IF(Schedule!I222="","",IF(ISNUMBER(Schedule!I222),IF(Schedule!I222&lt;10,Settings!$B$6&amp;TEXT(Schedule!I222,"#"),Schedule!I222),Schedule!I222)),"")</f>
        <v/>
      </c>
      <c r="N222" s="1" t="str">
        <f aca="false">IF(A222,IF(Schedule!J222="","",Schedule!J222),"")</f>
        <v/>
      </c>
      <c r="O222" s="1" t="str">
        <f aca="false">IF(A222,IF(AND(Settings!$B$14="longtable",NOT(D222)),Settings!$B$15,Settings!$B$3),"")</f>
        <v/>
      </c>
      <c r="P222" s="1" t="str">
        <f aca="false">IF(D222,Settings!$B$4,"")</f>
        <v/>
      </c>
    </row>
    <row r="223" customFormat="false" ht="15" hidden="false" customHeight="false" outlineLevel="0" collapsed="false">
      <c r="A223" s="46" t="b">
        <f aca="false">AND(Dates!F223&lt;&gt;"",ROW()&lt;=Settings!$B$13)</f>
        <v>0</v>
      </c>
      <c r="B223" s="1" t="str">
        <f aca="false">IF(NOT(A223),"",IF(Dates!D223&lt;&gt;"",Dates!D223,IF(ROW()=2,"",B222)))</f>
        <v/>
      </c>
      <c r="C223" s="46" t="b">
        <f aca="false">AND(A223,OR(ROW()=2,B223&lt;&gt;B222))</f>
        <v>0</v>
      </c>
      <c r="D223" s="46" t="b">
        <f aca="false">AND(A223,OR(NOT(A224),B224&lt;&gt;B223))</f>
        <v>0</v>
      </c>
      <c r="E223" s="1" t="n">
        <f aca="false">IF(A223,COUNTIF($B$2:$B$261,B223),0)</f>
        <v>0</v>
      </c>
      <c r="F223" s="1" t="str">
        <f aca="false">IF(A223,Dates!J223,"")</f>
        <v/>
      </c>
      <c r="G223" s="46" t="b">
        <f aca="false">AND(A223,OR(C223,F223&lt;&gt;F222))</f>
        <v>0</v>
      </c>
      <c r="H223" s="1" t="n">
        <f aca="false">IF(A223,COUNTIFS($B$2:$B$261,B223,$F$2:$F$261,F223),0)</f>
        <v>0</v>
      </c>
      <c r="I223" s="1" t="str">
        <f aca="false">IF(C223,"\multirow{"&amp;E223&amp;"}{*}{"&amp;B223&amp;"}","")</f>
        <v/>
      </c>
      <c r="J223" s="1" t="str">
        <f aca="false">IF(G223,IF(H223=1,F223,"\multirow{"&amp;H223&amp;"}{*}{"&amp;F223&amp;"}"),"")</f>
        <v/>
      </c>
      <c r="K223" s="1" t="str">
        <f aca="false">IF(A223,TEXT(Dates!K223,"00"),"")</f>
        <v/>
      </c>
      <c r="L223" s="1" t="str">
        <f aca="false">IF(A223,Dates!H223&amp;IF(C223,Settings!$B$2,""),"")</f>
        <v/>
      </c>
      <c r="M223" s="1" t="str">
        <f aca="false">IF(A223,IF(Schedule!I223="","",IF(ISNUMBER(Schedule!I223),IF(Schedule!I223&lt;10,Settings!$B$6&amp;TEXT(Schedule!I223,"#"),Schedule!I223),Schedule!I223)),"")</f>
        <v/>
      </c>
      <c r="N223" s="1" t="str">
        <f aca="false">IF(A223,IF(Schedule!J223="","",Schedule!J223),"")</f>
        <v/>
      </c>
      <c r="O223" s="1" t="str">
        <f aca="false">IF(A223,IF(AND(Settings!$B$14="longtable",NOT(D223)),Settings!$B$15,Settings!$B$3),"")</f>
        <v/>
      </c>
      <c r="P223" s="1" t="str">
        <f aca="false">IF(D223,Settings!$B$4,"")</f>
        <v/>
      </c>
    </row>
    <row r="224" customFormat="false" ht="15" hidden="false" customHeight="false" outlineLevel="0" collapsed="false">
      <c r="A224" s="46" t="b">
        <f aca="false">AND(Dates!F224&lt;&gt;"",ROW()&lt;=Settings!$B$13)</f>
        <v>0</v>
      </c>
      <c r="B224" s="1" t="str">
        <f aca="false">IF(NOT(A224),"",IF(Dates!D224&lt;&gt;"",Dates!D224,IF(ROW()=2,"",B223)))</f>
        <v/>
      </c>
      <c r="C224" s="46" t="b">
        <f aca="false">AND(A224,OR(ROW()=2,B224&lt;&gt;B223))</f>
        <v>0</v>
      </c>
      <c r="D224" s="46" t="b">
        <f aca="false">AND(A224,OR(NOT(A225),B225&lt;&gt;B224))</f>
        <v>0</v>
      </c>
      <c r="E224" s="1" t="n">
        <f aca="false">IF(A224,COUNTIF($B$2:$B$261,B224),0)</f>
        <v>0</v>
      </c>
      <c r="F224" s="1" t="str">
        <f aca="false">IF(A224,Dates!J224,"")</f>
        <v/>
      </c>
      <c r="G224" s="46" t="b">
        <f aca="false">AND(A224,OR(C224,F224&lt;&gt;F223))</f>
        <v>0</v>
      </c>
      <c r="H224" s="1" t="n">
        <f aca="false">IF(A224,COUNTIFS($B$2:$B$261,B224,$F$2:$F$261,F224),0)</f>
        <v>0</v>
      </c>
      <c r="I224" s="1" t="str">
        <f aca="false">IF(C224,"\multirow{"&amp;E224&amp;"}{*}{"&amp;B224&amp;"}","")</f>
        <v/>
      </c>
      <c r="J224" s="1" t="str">
        <f aca="false">IF(G224,IF(H224=1,F224,"\multirow{"&amp;H224&amp;"}{*}{"&amp;F224&amp;"}"),"")</f>
        <v/>
      </c>
      <c r="K224" s="1" t="str">
        <f aca="false">IF(A224,TEXT(Dates!K224,"00"),"")</f>
        <v/>
      </c>
      <c r="L224" s="1" t="str">
        <f aca="false">IF(A224,Dates!H224&amp;IF(C224,Settings!$B$2,""),"")</f>
        <v/>
      </c>
      <c r="M224" s="1" t="str">
        <f aca="false">IF(A224,IF(Schedule!I224="","",IF(ISNUMBER(Schedule!I224),IF(Schedule!I224&lt;10,Settings!$B$6&amp;TEXT(Schedule!I224,"#"),Schedule!I224),Schedule!I224)),"")</f>
        <v/>
      </c>
      <c r="N224" s="1" t="str">
        <f aca="false">IF(A224,IF(Schedule!J224="","",Schedule!J224),"")</f>
        <v/>
      </c>
      <c r="O224" s="1" t="str">
        <f aca="false">IF(A224,IF(AND(Settings!$B$14="longtable",NOT(D224)),Settings!$B$15,Settings!$B$3),"")</f>
        <v/>
      </c>
      <c r="P224" s="1" t="str">
        <f aca="false">IF(D224,Settings!$B$4,"")</f>
        <v/>
      </c>
    </row>
    <row r="225" customFormat="false" ht="15" hidden="false" customHeight="false" outlineLevel="0" collapsed="false">
      <c r="A225" s="46" t="b">
        <f aca="false">AND(Dates!F225&lt;&gt;"",ROW()&lt;=Settings!$B$13)</f>
        <v>0</v>
      </c>
      <c r="B225" s="1" t="str">
        <f aca="false">IF(NOT(A225),"",IF(Dates!D225&lt;&gt;"",Dates!D225,IF(ROW()=2,"",B224)))</f>
        <v/>
      </c>
      <c r="C225" s="46" t="b">
        <f aca="false">AND(A225,OR(ROW()=2,B225&lt;&gt;B224))</f>
        <v>0</v>
      </c>
      <c r="D225" s="46" t="b">
        <f aca="false">AND(A225,OR(NOT(A226),B226&lt;&gt;B225))</f>
        <v>0</v>
      </c>
      <c r="E225" s="1" t="n">
        <f aca="false">IF(A225,COUNTIF($B$2:$B$261,B225),0)</f>
        <v>0</v>
      </c>
      <c r="F225" s="1" t="str">
        <f aca="false">IF(A225,Dates!J225,"")</f>
        <v/>
      </c>
      <c r="G225" s="46" t="b">
        <f aca="false">AND(A225,OR(C225,F225&lt;&gt;F224))</f>
        <v>0</v>
      </c>
      <c r="H225" s="1" t="n">
        <f aca="false">IF(A225,COUNTIFS($B$2:$B$261,B225,$F$2:$F$261,F225),0)</f>
        <v>0</v>
      </c>
      <c r="I225" s="1" t="str">
        <f aca="false">IF(C225,"\multirow{"&amp;E225&amp;"}{*}{"&amp;B225&amp;"}","")</f>
        <v/>
      </c>
      <c r="J225" s="1" t="str">
        <f aca="false">IF(G225,IF(H225=1,F225,"\multirow{"&amp;H225&amp;"}{*}{"&amp;F225&amp;"}"),"")</f>
        <v/>
      </c>
      <c r="K225" s="1" t="str">
        <f aca="false">IF(A225,TEXT(Dates!K225,"00"),"")</f>
        <v/>
      </c>
      <c r="L225" s="1" t="str">
        <f aca="false">IF(A225,Dates!H225&amp;IF(C225,Settings!$B$2,""),"")</f>
        <v/>
      </c>
      <c r="M225" s="1" t="str">
        <f aca="false">IF(A225,IF(Schedule!I225="","",IF(ISNUMBER(Schedule!I225),IF(Schedule!I225&lt;10,Settings!$B$6&amp;TEXT(Schedule!I225,"#"),Schedule!I225),Schedule!I225)),"")</f>
        <v/>
      </c>
      <c r="N225" s="1" t="str">
        <f aca="false">IF(A225,IF(Schedule!J225="","",Schedule!J225),"")</f>
        <v/>
      </c>
      <c r="O225" s="1" t="str">
        <f aca="false">IF(A225,IF(AND(Settings!$B$14="longtable",NOT(D225)),Settings!$B$15,Settings!$B$3),"")</f>
        <v/>
      </c>
      <c r="P225" s="1" t="str">
        <f aca="false">IF(D225,Settings!$B$4,"")</f>
        <v/>
      </c>
    </row>
    <row r="226" customFormat="false" ht="15" hidden="false" customHeight="false" outlineLevel="0" collapsed="false">
      <c r="A226" s="46" t="b">
        <f aca="false">AND(Dates!F226&lt;&gt;"",ROW()&lt;=Settings!$B$13)</f>
        <v>0</v>
      </c>
      <c r="B226" s="1" t="str">
        <f aca="false">IF(NOT(A226),"",IF(Dates!D226&lt;&gt;"",Dates!D226,IF(ROW()=2,"",B225)))</f>
        <v/>
      </c>
      <c r="C226" s="46" t="b">
        <f aca="false">AND(A226,OR(ROW()=2,B226&lt;&gt;B225))</f>
        <v>0</v>
      </c>
      <c r="D226" s="46" t="b">
        <f aca="false">AND(A226,OR(NOT(A227),B227&lt;&gt;B226))</f>
        <v>0</v>
      </c>
      <c r="E226" s="1" t="n">
        <f aca="false">IF(A226,COUNTIF($B$2:$B$261,B226),0)</f>
        <v>0</v>
      </c>
      <c r="F226" s="1" t="str">
        <f aca="false">IF(A226,Dates!J226,"")</f>
        <v/>
      </c>
      <c r="G226" s="46" t="b">
        <f aca="false">AND(A226,OR(C226,F226&lt;&gt;F225))</f>
        <v>0</v>
      </c>
      <c r="H226" s="1" t="n">
        <f aca="false">IF(A226,COUNTIFS($B$2:$B$261,B226,$F$2:$F$261,F226),0)</f>
        <v>0</v>
      </c>
      <c r="I226" s="1" t="str">
        <f aca="false">IF(C226,"\multirow{"&amp;E226&amp;"}{*}{"&amp;B226&amp;"}","")</f>
        <v/>
      </c>
      <c r="J226" s="1" t="str">
        <f aca="false">IF(G226,IF(H226=1,F226,"\multirow{"&amp;H226&amp;"}{*}{"&amp;F226&amp;"}"),"")</f>
        <v/>
      </c>
      <c r="K226" s="1" t="str">
        <f aca="false">IF(A226,TEXT(Dates!K226,"00"),"")</f>
        <v/>
      </c>
      <c r="L226" s="1" t="str">
        <f aca="false">IF(A226,Dates!H226&amp;IF(C226,Settings!$B$2,""),"")</f>
        <v/>
      </c>
      <c r="M226" s="1" t="str">
        <f aca="false">IF(A226,IF(Schedule!I226="","",IF(ISNUMBER(Schedule!I226),IF(Schedule!I226&lt;10,Settings!$B$6&amp;TEXT(Schedule!I226,"#"),Schedule!I226),Schedule!I226)),"")</f>
        <v/>
      </c>
      <c r="N226" s="1" t="str">
        <f aca="false">IF(A226,IF(Schedule!J226="","",Schedule!J226),"")</f>
        <v/>
      </c>
      <c r="O226" s="1" t="str">
        <f aca="false">IF(A226,IF(AND(Settings!$B$14="longtable",NOT(D226)),Settings!$B$15,Settings!$B$3),"")</f>
        <v/>
      </c>
      <c r="P226" s="1" t="str">
        <f aca="false">IF(D226,Settings!$B$4,"")</f>
        <v/>
      </c>
    </row>
    <row r="227" customFormat="false" ht="15" hidden="false" customHeight="false" outlineLevel="0" collapsed="false">
      <c r="A227" s="46" t="b">
        <f aca="false">AND(Dates!F227&lt;&gt;"",ROW()&lt;=Settings!$B$13)</f>
        <v>0</v>
      </c>
      <c r="B227" s="1" t="str">
        <f aca="false">IF(NOT(A227),"",IF(Dates!D227&lt;&gt;"",Dates!D227,IF(ROW()=2,"",B226)))</f>
        <v/>
      </c>
      <c r="C227" s="46" t="b">
        <f aca="false">AND(A227,OR(ROW()=2,B227&lt;&gt;B226))</f>
        <v>0</v>
      </c>
      <c r="D227" s="46" t="b">
        <f aca="false">AND(A227,OR(NOT(A228),B228&lt;&gt;B227))</f>
        <v>0</v>
      </c>
      <c r="E227" s="1" t="n">
        <f aca="false">IF(A227,COUNTIF($B$2:$B$261,B227),0)</f>
        <v>0</v>
      </c>
      <c r="F227" s="1" t="str">
        <f aca="false">IF(A227,Dates!J227,"")</f>
        <v/>
      </c>
      <c r="G227" s="46" t="b">
        <f aca="false">AND(A227,OR(C227,F227&lt;&gt;F226))</f>
        <v>0</v>
      </c>
      <c r="H227" s="1" t="n">
        <f aca="false">IF(A227,COUNTIFS($B$2:$B$261,B227,$F$2:$F$261,F227),0)</f>
        <v>0</v>
      </c>
      <c r="I227" s="1" t="str">
        <f aca="false">IF(C227,"\multirow{"&amp;E227&amp;"}{*}{"&amp;B227&amp;"}","")</f>
        <v/>
      </c>
      <c r="J227" s="1" t="str">
        <f aca="false">IF(G227,IF(H227=1,F227,"\multirow{"&amp;H227&amp;"}{*}{"&amp;F227&amp;"}"),"")</f>
        <v/>
      </c>
      <c r="K227" s="1" t="str">
        <f aca="false">IF(A227,TEXT(Dates!K227,"00"),"")</f>
        <v/>
      </c>
      <c r="L227" s="1" t="str">
        <f aca="false">IF(A227,Dates!H227&amp;IF(C227,Settings!$B$2,""),"")</f>
        <v/>
      </c>
      <c r="M227" s="1" t="str">
        <f aca="false">IF(A227,IF(Schedule!I227="","",IF(ISNUMBER(Schedule!I227),IF(Schedule!I227&lt;10,Settings!$B$6&amp;TEXT(Schedule!I227,"#"),Schedule!I227),Schedule!I227)),"")</f>
        <v/>
      </c>
      <c r="N227" s="1" t="str">
        <f aca="false">IF(A227,IF(Schedule!J227="","",Schedule!J227),"")</f>
        <v/>
      </c>
      <c r="O227" s="1" t="str">
        <f aca="false">IF(A227,IF(AND(Settings!$B$14="longtable",NOT(D227)),Settings!$B$15,Settings!$B$3),"")</f>
        <v/>
      </c>
      <c r="P227" s="1" t="str">
        <f aca="false">IF(D227,Settings!$B$4,"")</f>
        <v/>
      </c>
    </row>
    <row r="228" customFormat="false" ht="15" hidden="false" customHeight="false" outlineLevel="0" collapsed="false">
      <c r="A228" s="46" t="b">
        <f aca="false">AND(Dates!F228&lt;&gt;"",ROW()&lt;=Settings!$B$13)</f>
        <v>0</v>
      </c>
      <c r="B228" s="1" t="str">
        <f aca="false">IF(NOT(A228),"",IF(Dates!D228&lt;&gt;"",Dates!D228,IF(ROW()=2,"",B227)))</f>
        <v/>
      </c>
      <c r="C228" s="46" t="b">
        <f aca="false">AND(A228,OR(ROW()=2,B228&lt;&gt;B227))</f>
        <v>0</v>
      </c>
      <c r="D228" s="46" t="b">
        <f aca="false">AND(A228,OR(NOT(A229),B229&lt;&gt;B228))</f>
        <v>0</v>
      </c>
      <c r="E228" s="1" t="n">
        <f aca="false">IF(A228,COUNTIF($B$2:$B$261,B228),0)</f>
        <v>0</v>
      </c>
      <c r="F228" s="1" t="str">
        <f aca="false">IF(A228,Dates!J228,"")</f>
        <v/>
      </c>
      <c r="G228" s="46" t="b">
        <f aca="false">AND(A228,OR(C228,F228&lt;&gt;F227))</f>
        <v>0</v>
      </c>
      <c r="H228" s="1" t="n">
        <f aca="false">IF(A228,COUNTIFS($B$2:$B$261,B228,$F$2:$F$261,F228),0)</f>
        <v>0</v>
      </c>
      <c r="I228" s="1" t="str">
        <f aca="false">IF(C228,"\multirow{"&amp;E228&amp;"}{*}{"&amp;B228&amp;"}","")</f>
        <v/>
      </c>
      <c r="J228" s="1" t="str">
        <f aca="false">IF(G228,IF(H228=1,F228,"\multirow{"&amp;H228&amp;"}{*}{"&amp;F228&amp;"}"),"")</f>
        <v/>
      </c>
      <c r="K228" s="1" t="str">
        <f aca="false">IF(A228,TEXT(Dates!K228,"00"),"")</f>
        <v/>
      </c>
      <c r="L228" s="1" t="str">
        <f aca="false">IF(A228,Dates!H228&amp;IF(C228,Settings!$B$2,""),"")</f>
        <v/>
      </c>
      <c r="M228" s="1" t="str">
        <f aca="false">IF(A228,IF(Schedule!I228="","",IF(ISNUMBER(Schedule!I228),IF(Schedule!I228&lt;10,Settings!$B$6&amp;TEXT(Schedule!I228,"#"),Schedule!I228),Schedule!I228)),"")</f>
        <v/>
      </c>
      <c r="N228" s="1" t="str">
        <f aca="false">IF(A228,IF(Schedule!J228="","",Schedule!J228),"")</f>
        <v/>
      </c>
      <c r="O228" s="1" t="str">
        <f aca="false">IF(A228,IF(AND(Settings!$B$14="longtable",NOT(D228)),Settings!$B$15,Settings!$B$3),"")</f>
        <v/>
      </c>
      <c r="P228" s="1" t="str">
        <f aca="false">IF(D228,Settings!$B$4,"")</f>
        <v/>
      </c>
    </row>
    <row r="229" customFormat="false" ht="15" hidden="false" customHeight="false" outlineLevel="0" collapsed="false">
      <c r="A229" s="46" t="b">
        <f aca="false">AND(Dates!F229&lt;&gt;"",ROW()&lt;=Settings!$B$13)</f>
        <v>0</v>
      </c>
      <c r="B229" s="1" t="str">
        <f aca="false">IF(NOT(A229),"",IF(Dates!D229&lt;&gt;"",Dates!D229,IF(ROW()=2,"",B228)))</f>
        <v/>
      </c>
      <c r="C229" s="46" t="b">
        <f aca="false">AND(A229,OR(ROW()=2,B229&lt;&gt;B228))</f>
        <v>0</v>
      </c>
      <c r="D229" s="46" t="b">
        <f aca="false">AND(A229,OR(NOT(A230),B230&lt;&gt;B229))</f>
        <v>0</v>
      </c>
      <c r="E229" s="1" t="n">
        <f aca="false">IF(A229,COUNTIF($B$2:$B$261,B229),0)</f>
        <v>0</v>
      </c>
      <c r="F229" s="1" t="str">
        <f aca="false">IF(A229,Dates!J229,"")</f>
        <v/>
      </c>
      <c r="G229" s="46" t="b">
        <f aca="false">AND(A229,OR(C229,F229&lt;&gt;F228))</f>
        <v>0</v>
      </c>
      <c r="H229" s="1" t="n">
        <f aca="false">IF(A229,COUNTIFS($B$2:$B$261,B229,$F$2:$F$261,F229),0)</f>
        <v>0</v>
      </c>
      <c r="I229" s="1" t="str">
        <f aca="false">IF(C229,"\multirow{"&amp;E229&amp;"}{*}{"&amp;B229&amp;"}","")</f>
        <v/>
      </c>
      <c r="J229" s="1" t="str">
        <f aca="false">IF(G229,IF(H229=1,F229,"\multirow{"&amp;H229&amp;"}{*}{"&amp;F229&amp;"}"),"")</f>
        <v/>
      </c>
      <c r="K229" s="1" t="str">
        <f aca="false">IF(A229,TEXT(Dates!K229,"00"),"")</f>
        <v/>
      </c>
      <c r="L229" s="1" t="str">
        <f aca="false">IF(A229,Dates!H229&amp;IF(C229,Settings!$B$2,""),"")</f>
        <v/>
      </c>
      <c r="M229" s="1" t="str">
        <f aca="false">IF(A229,IF(Schedule!I229="","",IF(ISNUMBER(Schedule!I229),IF(Schedule!I229&lt;10,Settings!$B$6&amp;TEXT(Schedule!I229,"#"),Schedule!I229),Schedule!I229)),"")</f>
        <v/>
      </c>
      <c r="N229" s="1" t="str">
        <f aca="false">IF(A229,IF(Schedule!J229="","",Schedule!J229),"")</f>
        <v/>
      </c>
      <c r="O229" s="1" t="str">
        <f aca="false">IF(A229,IF(AND(Settings!$B$14="longtable",NOT(D229)),Settings!$B$15,Settings!$B$3),"")</f>
        <v/>
      </c>
      <c r="P229" s="1" t="str">
        <f aca="false">IF(D229,Settings!$B$4,"")</f>
        <v/>
      </c>
    </row>
    <row r="230" customFormat="false" ht="15" hidden="false" customHeight="false" outlineLevel="0" collapsed="false">
      <c r="A230" s="46" t="b">
        <f aca="false">AND(Dates!F230&lt;&gt;"",ROW()&lt;=Settings!$B$13)</f>
        <v>0</v>
      </c>
      <c r="B230" s="1" t="str">
        <f aca="false">IF(NOT(A230),"",IF(Dates!D230&lt;&gt;"",Dates!D230,IF(ROW()=2,"",B229)))</f>
        <v/>
      </c>
      <c r="C230" s="46" t="b">
        <f aca="false">AND(A230,OR(ROW()=2,B230&lt;&gt;B229))</f>
        <v>0</v>
      </c>
      <c r="D230" s="46" t="b">
        <f aca="false">AND(A230,OR(NOT(A231),B231&lt;&gt;B230))</f>
        <v>0</v>
      </c>
      <c r="E230" s="1" t="n">
        <f aca="false">IF(A230,COUNTIF($B$2:$B$261,B230),0)</f>
        <v>0</v>
      </c>
      <c r="F230" s="1" t="str">
        <f aca="false">IF(A230,Dates!J230,"")</f>
        <v/>
      </c>
      <c r="G230" s="46" t="b">
        <f aca="false">AND(A230,OR(C230,F230&lt;&gt;F229))</f>
        <v>0</v>
      </c>
      <c r="H230" s="1" t="n">
        <f aca="false">IF(A230,COUNTIFS($B$2:$B$261,B230,$F$2:$F$261,F230),0)</f>
        <v>0</v>
      </c>
      <c r="I230" s="1" t="str">
        <f aca="false">IF(C230,"\multirow{"&amp;E230&amp;"}{*}{"&amp;B230&amp;"}","")</f>
        <v/>
      </c>
      <c r="J230" s="1" t="str">
        <f aca="false">IF(G230,IF(H230=1,F230,"\multirow{"&amp;H230&amp;"}{*}{"&amp;F230&amp;"}"),"")</f>
        <v/>
      </c>
      <c r="K230" s="1" t="str">
        <f aca="false">IF(A230,TEXT(Dates!K230,"00"),"")</f>
        <v/>
      </c>
      <c r="L230" s="1" t="str">
        <f aca="false">IF(A230,Dates!H230&amp;IF(C230,Settings!$B$2,""),"")</f>
        <v/>
      </c>
      <c r="M230" s="1" t="str">
        <f aca="false">IF(A230,IF(Schedule!I230="","",IF(ISNUMBER(Schedule!I230),IF(Schedule!I230&lt;10,Settings!$B$6&amp;TEXT(Schedule!I230,"#"),Schedule!I230),Schedule!I230)),"")</f>
        <v/>
      </c>
      <c r="N230" s="1" t="str">
        <f aca="false">IF(A230,IF(Schedule!J230="","",Schedule!J230),"")</f>
        <v/>
      </c>
      <c r="O230" s="1" t="str">
        <f aca="false">IF(A230,IF(AND(Settings!$B$14="longtable",NOT(D230)),Settings!$B$15,Settings!$B$3),"")</f>
        <v/>
      </c>
      <c r="P230" s="1" t="str">
        <f aca="false">IF(D230,Settings!$B$4,"")</f>
        <v/>
      </c>
    </row>
    <row r="231" customFormat="false" ht="15" hidden="false" customHeight="false" outlineLevel="0" collapsed="false">
      <c r="A231" s="46" t="b">
        <f aca="false">AND(Dates!F231&lt;&gt;"",ROW()&lt;=Settings!$B$13)</f>
        <v>0</v>
      </c>
      <c r="B231" s="1" t="str">
        <f aca="false">IF(NOT(A231),"",IF(Dates!D231&lt;&gt;"",Dates!D231,IF(ROW()=2,"",B230)))</f>
        <v/>
      </c>
      <c r="C231" s="46" t="b">
        <f aca="false">AND(A231,OR(ROW()=2,B231&lt;&gt;B230))</f>
        <v>0</v>
      </c>
      <c r="D231" s="46" t="b">
        <f aca="false">AND(A231,OR(NOT(A232),B232&lt;&gt;B231))</f>
        <v>0</v>
      </c>
      <c r="E231" s="1" t="n">
        <f aca="false">IF(A231,COUNTIF($B$2:$B$261,B231),0)</f>
        <v>0</v>
      </c>
      <c r="F231" s="1" t="str">
        <f aca="false">IF(A231,Dates!J231,"")</f>
        <v/>
      </c>
      <c r="G231" s="46" t="b">
        <f aca="false">AND(A231,OR(C231,F231&lt;&gt;F230))</f>
        <v>0</v>
      </c>
      <c r="H231" s="1" t="n">
        <f aca="false">IF(A231,COUNTIFS($B$2:$B$261,B231,$F$2:$F$261,F231),0)</f>
        <v>0</v>
      </c>
      <c r="I231" s="1" t="str">
        <f aca="false">IF(C231,"\multirow{"&amp;E231&amp;"}{*}{"&amp;B231&amp;"}","")</f>
        <v/>
      </c>
      <c r="J231" s="1" t="str">
        <f aca="false">IF(G231,IF(H231=1,F231,"\multirow{"&amp;H231&amp;"}{*}{"&amp;F231&amp;"}"),"")</f>
        <v/>
      </c>
      <c r="K231" s="1" t="str">
        <f aca="false">IF(A231,TEXT(Dates!K231,"00"),"")</f>
        <v/>
      </c>
      <c r="L231" s="1" t="str">
        <f aca="false">IF(A231,Dates!H231&amp;IF(C231,Settings!$B$2,""),"")</f>
        <v/>
      </c>
      <c r="M231" s="1" t="str">
        <f aca="false">IF(A231,IF(Schedule!I231="","",IF(ISNUMBER(Schedule!I231),IF(Schedule!I231&lt;10,Settings!$B$6&amp;TEXT(Schedule!I231,"#"),Schedule!I231),Schedule!I231)),"")</f>
        <v/>
      </c>
      <c r="N231" s="1" t="str">
        <f aca="false">IF(A231,IF(Schedule!J231="","",Schedule!J231),"")</f>
        <v/>
      </c>
      <c r="O231" s="1" t="str">
        <f aca="false">IF(A231,IF(AND(Settings!$B$14="longtable",NOT(D231)),Settings!$B$15,Settings!$B$3),"")</f>
        <v/>
      </c>
      <c r="P231" s="1" t="str">
        <f aca="false">IF(D231,Settings!$B$4,"")</f>
        <v/>
      </c>
    </row>
    <row r="232" customFormat="false" ht="15" hidden="false" customHeight="false" outlineLevel="0" collapsed="false">
      <c r="A232" s="46" t="b">
        <f aca="false">AND(Dates!F232&lt;&gt;"",ROW()&lt;=Settings!$B$13)</f>
        <v>0</v>
      </c>
      <c r="B232" s="1" t="str">
        <f aca="false">IF(NOT(A232),"",IF(Dates!D232&lt;&gt;"",Dates!D232,IF(ROW()=2,"",B231)))</f>
        <v/>
      </c>
      <c r="C232" s="46" t="b">
        <f aca="false">AND(A232,OR(ROW()=2,B232&lt;&gt;B231))</f>
        <v>0</v>
      </c>
      <c r="D232" s="46" t="b">
        <f aca="false">AND(A232,OR(NOT(A233),B233&lt;&gt;B232))</f>
        <v>0</v>
      </c>
      <c r="E232" s="1" t="n">
        <f aca="false">IF(A232,COUNTIF($B$2:$B$261,B232),0)</f>
        <v>0</v>
      </c>
      <c r="F232" s="1" t="str">
        <f aca="false">IF(A232,Dates!J232,"")</f>
        <v/>
      </c>
      <c r="G232" s="46" t="b">
        <f aca="false">AND(A232,OR(C232,F232&lt;&gt;F231))</f>
        <v>0</v>
      </c>
      <c r="H232" s="1" t="n">
        <f aca="false">IF(A232,COUNTIFS($B$2:$B$261,B232,$F$2:$F$261,F232),0)</f>
        <v>0</v>
      </c>
      <c r="I232" s="1" t="str">
        <f aca="false">IF(C232,"\multirow{"&amp;E232&amp;"}{*}{"&amp;B232&amp;"}","")</f>
        <v/>
      </c>
      <c r="J232" s="1" t="str">
        <f aca="false">IF(G232,IF(H232=1,F232,"\multirow{"&amp;H232&amp;"}{*}{"&amp;F232&amp;"}"),"")</f>
        <v/>
      </c>
      <c r="K232" s="1" t="str">
        <f aca="false">IF(A232,TEXT(Dates!K232,"00"),"")</f>
        <v/>
      </c>
      <c r="L232" s="1" t="str">
        <f aca="false">IF(A232,Dates!H232&amp;IF(C232,Settings!$B$2,""),"")</f>
        <v/>
      </c>
      <c r="M232" s="1" t="str">
        <f aca="false">IF(A232,IF(Schedule!I232="","",IF(ISNUMBER(Schedule!I232),IF(Schedule!I232&lt;10,Settings!$B$6&amp;TEXT(Schedule!I232,"#"),Schedule!I232),Schedule!I232)),"")</f>
        <v/>
      </c>
      <c r="N232" s="1" t="str">
        <f aca="false">IF(A232,IF(Schedule!J232="","",Schedule!J232),"")</f>
        <v/>
      </c>
      <c r="O232" s="1" t="str">
        <f aca="false">IF(A232,IF(AND(Settings!$B$14="longtable",NOT(D232)),Settings!$B$15,Settings!$B$3),"")</f>
        <v/>
      </c>
      <c r="P232" s="1" t="str">
        <f aca="false">IF(D232,Settings!$B$4,"")</f>
        <v/>
      </c>
    </row>
    <row r="233" customFormat="false" ht="15" hidden="false" customHeight="false" outlineLevel="0" collapsed="false">
      <c r="A233" s="46" t="b">
        <f aca="false">AND(Dates!F233&lt;&gt;"",ROW()&lt;=Settings!$B$13)</f>
        <v>0</v>
      </c>
      <c r="B233" s="1" t="str">
        <f aca="false">IF(NOT(A233),"",IF(Dates!D233&lt;&gt;"",Dates!D233,IF(ROW()=2,"",B232)))</f>
        <v/>
      </c>
      <c r="C233" s="46" t="b">
        <f aca="false">AND(A233,OR(ROW()=2,B233&lt;&gt;B232))</f>
        <v>0</v>
      </c>
      <c r="D233" s="46" t="b">
        <f aca="false">AND(A233,OR(NOT(A234),B234&lt;&gt;B233))</f>
        <v>0</v>
      </c>
      <c r="E233" s="1" t="n">
        <f aca="false">IF(A233,COUNTIF($B$2:$B$261,B233),0)</f>
        <v>0</v>
      </c>
      <c r="F233" s="1" t="str">
        <f aca="false">IF(A233,Dates!J233,"")</f>
        <v/>
      </c>
      <c r="G233" s="46" t="b">
        <f aca="false">AND(A233,OR(C233,F233&lt;&gt;F232))</f>
        <v>0</v>
      </c>
      <c r="H233" s="1" t="n">
        <f aca="false">IF(A233,COUNTIFS($B$2:$B$261,B233,$F$2:$F$261,F233),0)</f>
        <v>0</v>
      </c>
      <c r="I233" s="1" t="str">
        <f aca="false">IF(C233,"\multirow{"&amp;E233&amp;"}{*}{"&amp;B233&amp;"}","")</f>
        <v/>
      </c>
      <c r="J233" s="1" t="str">
        <f aca="false">IF(G233,IF(H233=1,F233,"\multirow{"&amp;H233&amp;"}{*}{"&amp;F233&amp;"}"),"")</f>
        <v/>
      </c>
      <c r="K233" s="1" t="str">
        <f aca="false">IF(A233,TEXT(Dates!K233,"00"),"")</f>
        <v/>
      </c>
      <c r="L233" s="1" t="str">
        <f aca="false">IF(A233,Dates!H233&amp;IF(C233,Settings!$B$2,""),"")</f>
        <v/>
      </c>
      <c r="M233" s="1" t="str">
        <f aca="false">IF(A233,IF(Schedule!I233="","",IF(ISNUMBER(Schedule!I233),IF(Schedule!I233&lt;10,Settings!$B$6&amp;TEXT(Schedule!I233,"#"),Schedule!I233),Schedule!I233)),"")</f>
        <v/>
      </c>
      <c r="N233" s="1" t="str">
        <f aca="false">IF(A233,IF(Schedule!J233="","",Schedule!J233),"")</f>
        <v/>
      </c>
      <c r="O233" s="1" t="str">
        <f aca="false">IF(A233,IF(AND(Settings!$B$14="longtable",NOT(D233)),Settings!$B$15,Settings!$B$3),"")</f>
        <v/>
      </c>
      <c r="P233" s="1" t="str">
        <f aca="false">IF(D233,Settings!$B$4,"")</f>
        <v/>
      </c>
    </row>
    <row r="234" customFormat="false" ht="15" hidden="false" customHeight="false" outlineLevel="0" collapsed="false">
      <c r="A234" s="46" t="b">
        <f aca="false">AND(Dates!F234&lt;&gt;"",ROW()&lt;=Settings!$B$13)</f>
        <v>0</v>
      </c>
      <c r="B234" s="1" t="str">
        <f aca="false">IF(NOT(A234),"",IF(Dates!D234&lt;&gt;"",Dates!D234,IF(ROW()=2,"",B233)))</f>
        <v/>
      </c>
      <c r="C234" s="46" t="b">
        <f aca="false">AND(A234,OR(ROW()=2,B234&lt;&gt;B233))</f>
        <v>0</v>
      </c>
      <c r="D234" s="46" t="b">
        <f aca="false">AND(A234,OR(NOT(A235),B235&lt;&gt;B234))</f>
        <v>0</v>
      </c>
      <c r="E234" s="1" t="n">
        <f aca="false">IF(A234,COUNTIF($B$2:$B$261,B234),0)</f>
        <v>0</v>
      </c>
      <c r="F234" s="1" t="str">
        <f aca="false">IF(A234,Dates!J234,"")</f>
        <v/>
      </c>
      <c r="G234" s="46" t="b">
        <f aca="false">AND(A234,OR(C234,F234&lt;&gt;F233))</f>
        <v>0</v>
      </c>
      <c r="H234" s="1" t="n">
        <f aca="false">IF(A234,COUNTIFS($B$2:$B$261,B234,$F$2:$F$261,F234),0)</f>
        <v>0</v>
      </c>
      <c r="I234" s="1" t="str">
        <f aca="false">IF(C234,"\multirow{"&amp;E234&amp;"}{*}{"&amp;B234&amp;"}","")</f>
        <v/>
      </c>
      <c r="J234" s="1" t="str">
        <f aca="false">IF(G234,IF(H234=1,F234,"\multirow{"&amp;H234&amp;"}{*}{"&amp;F234&amp;"}"),"")</f>
        <v/>
      </c>
      <c r="K234" s="1" t="str">
        <f aca="false">IF(A234,TEXT(Dates!K234,"00"),"")</f>
        <v/>
      </c>
      <c r="L234" s="1" t="str">
        <f aca="false">IF(A234,Dates!H234&amp;IF(C234,Settings!$B$2,""),"")</f>
        <v/>
      </c>
      <c r="M234" s="1" t="str">
        <f aca="false">IF(A234,IF(Schedule!I234="","",IF(ISNUMBER(Schedule!I234),IF(Schedule!I234&lt;10,Settings!$B$6&amp;TEXT(Schedule!I234,"#"),Schedule!I234),Schedule!I234)),"")</f>
        <v/>
      </c>
      <c r="N234" s="1" t="str">
        <f aca="false">IF(A234,IF(Schedule!J234="","",Schedule!J234),"")</f>
        <v/>
      </c>
      <c r="O234" s="1" t="str">
        <f aca="false">IF(A234,IF(AND(Settings!$B$14="longtable",NOT(D234)),Settings!$B$15,Settings!$B$3),"")</f>
        <v/>
      </c>
      <c r="P234" s="1" t="str">
        <f aca="false">IF(D234,Settings!$B$4,"")</f>
        <v/>
      </c>
    </row>
    <row r="235" customFormat="false" ht="15" hidden="false" customHeight="false" outlineLevel="0" collapsed="false">
      <c r="A235" s="46" t="b">
        <f aca="false">AND(Dates!F235&lt;&gt;"",ROW()&lt;=Settings!$B$13)</f>
        <v>0</v>
      </c>
      <c r="B235" s="1" t="str">
        <f aca="false">IF(NOT(A235),"",IF(Dates!D235&lt;&gt;"",Dates!D235,IF(ROW()=2,"",B234)))</f>
        <v/>
      </c>
      <c r="C235" s="46" t="b">
        <f aca="false">AND(A235,OR(ROW()=2,B235&lt;&gt;B234))</f>
        <v>0</v>
      </c>
      <c r="D235" s="46" t="b">
        <f aca="false">AND(A235,OR(NOT(A236),B236&lt;&gt;B235))</f>
        <v>0</v>
      </c>
      <c r="E235" s="1" t="n">
        <f aca="false">IF(A235,COUNTIF($B$2:$B$261,B235),0)</f>
        <v>0</v>
      </c>
      <c r="F235" s="1" t="str">
        <f aca="false">IF(A235,Dates!J235,"")</f>
        <v/>
      </c>
      <c r="G235" s="46" t="b">
        <f aca="false">AND(A235,OR(C235,F235&lt;&gt;F234))</f>
        <v>0</v>
      </c>
      <c r="H235" s="1" t="n">
        <f aca="false">IF(A235,COUNTIFS($B$2:$B$261,B235,$F$2:$F$261,F235),0)</f>
        <v>0</v>
      </c>
      <c r="I235" s="1" t="str">
        <f aca="false">IF(C235,"\multirow{"&amp;E235&amp;"}{*}{"&amp;B235&amp;"}","")</f>
        <v/>
      </c>
      <c r="J235" s="1" t="str">
        <f aca="false">IF(G235,IF(H235=1,F235,"\multirow{"&amp;H235&amp;"}{*}{"&amp;F235&amp;"}"),"")</f>
        <v/>
      </c>
      <c r="K235" s="1" t="str">
        <f aca="false">IF(A235,TEXT(Dates!K235,"00"),"")</f>
        <v/>
      </c>
      <c r="L235" s="1" t="str">
        <f aca="false">IF(A235,Dates!H235&amp;IF(C235,Settings!$B$2,""),"")</f>
        <v/>
      </c>
      <c r="M235" s="1" t="str">
        <f aca="false">IF(A235,IF(Schedule!I235="","",IF(ISNUMBER(Schedule!I235),IF(Schedule!I235&lt;10,Settings!$B$6&amp;TEXT(Schedule!I235,"#"),Schedule!I235),Schedule!I235)),"")</f>
        <v/>
      </c>
      <c r="N235" s="1" t="str">
        <f aca="false">IF(A235,IF(Schedule!J235="","",Schedule!J235),"")</f>
        <v/>
      </c>
      <c r="O235" s="1" t="str">
        <f aca="false">IF(A235,IF(AND(Settings!$B$14="longtable",NOT(D235)),Settings!$B$15,Settings!$B$3),"")</f>
        <v/>
      </c>
      <c r="P235" s="1" t="str">
        <f aca="false">IF(D235,Settings!$B$4,"")</f>
        <v/>
      </c>
    </row>
    <row r="236" customFormat="false" ht="15" hidden="false" customHeight="false" outlineLevel="0" collapsed="false">
      <c r="A236" s="46" t="b">
        <f aca="false">AND(Dates!F236&lt;&gt;"",ROW()&lt;=Settings!$B$13)</f>
        <v>0</v>
      </c>
      <c r="B236" s="1" t="str">
        <f aca="false">IF(NOT(A236),"",IF(Dates!D236&lt;&gt;"",Dates!D236,IF(ROW()=2,"",B235)))</f>
        <v/>
      </c>
      <c r="C236" s="46" t="b">
        <f aca="false">AND(A236,OR(ROW()=2,B236&lt;&gt;B235))</f>
        <v>0</v>
      </c>
      <c r="D236" s="46" t="b">
        <f aca="false">AND(A236,OR(NOT(A237),B237&lt;&gt;B236))</f>
        <v>0</v>
      </c>
      <c r="E236" s="1" t="n">
        <f aca="false">IF(A236,COUNTIF($B$2:$B$261,B236),0)</f>
        <v>0</v>
      </c>
      <c r="F236" s="1" t="str">
        <f aca="false">IF(A236,Dates!J236,"")</f>
        <v/>
      </c>
      <c r="G236" s="46" t="b">
        <f aca="false">AND(A236,OR(C236,F236&lt;&gt;F235))</f>
        <v>0</v>
      </c>
      <c r="H236" s="1" t="n">
        <f aca="false">IF(A236,COUNTIFS($B$2:$B$261,B236,$F$2:$F$261,F236),0)</f>
        <v>0</v>
      </c>
      <c r="I236" s="1" t="str">
        <f aca="false">IF(C236,"\multirow{"&amp;E236&amp;"}{*}{"&amp;B236&amp;"}","")</f>
        <v/>
      </c>
      <c r="J236" s="1" t="str">
        <f aca="false">IF(G236,IF(H236=1,F236,"\multirow{"&amp;H236&amp;"}{*}{"&amp;F236&amp;"}"),"")</f>
        <v/>
      </c>
      <c r="K236" s="1" t="str">
        <f aca="false">IF(A236,TEXT(Dates!K236,"00"),"")</f>
        <v/>
      </c>
      <c r="L236" s="1" t="str">
        <f aca="false">IF(A236,Dates!H236&amp;IF(C236,Settings!$B$2,""),"")</f>
        <v/>
      </c>
      <c r="M236" s="1" t="str">
        <f aca="false">IF(A236,IF(Schedule!I236="","",IF(ISNUMBER(Schedule!I236),IF(Schedule!I236&lt;10,Settings!$B$6&amp;TEXT(Schedule!I236,"#"),Schedule!I236),Schedule!I236)),"")</f>
        <v/>
      </c>
      <c r="N236" s="1" t="str">
        <f aca="false">IF(A236,IF(Schedule!J236="","",Schedule!J236),"")</f>
        <v/>
      </c>
      <c r="O236" s="1" t="str">
        <f aca="false">IF(A236,IF(AND(Settings!$B$14="longtable",NOT(D236)),Settings!$B$15,Settings!$B$3),"")</f>
        <v/>
      </c>
      <c r="P236" s="1" t="str">
        <f aca="false">IF(D236,Settings!$B$4,"")</f>
        <v/>
      </c>
    </row>
    <row r="237" customFormat="false" ht="15" hidden="false" customHeight="false" outlineLevel="0" collapsed="false">
      <c r="A237" s="46" t="b">
        <f aca="false">AND(Dates!F237&lt;&gt;"",ROW()&lt;=Settings!$B$13)</f>
        <v>0</v>
      </c>
      <c r="B237" s="1" t="str">
        <f aca="false">IF(NOT(A237),"",IF(Dates!D237&lt;&gt;"",Dates!D237,IF(ROW()=2,"",B236)))</f>
        <v/>
      </c>
      <c r="C237" s="46" t="b">
        <f aca="false">AND(A237,OR(ROW()=2,B237&lt;&gt;B236))</f>
        <v>0</v>
      </c>
      <c r="D237" s="46" t="b">
        <f aca="false">AND(A237,OR(NOT(A238),B238&lt;&gt;B237))</f>
        <v>0</v>
      </c>
      <c r="E237" s="1" t="n">
        <f aca="false">IF(A237,COUNTIF($B$2:$B$261,B237),0)</f>
        <v>0</v>
      </c>
      <c r="F237" s="1" t="str">
        <f aca="false">IF(A237,Dates!J237,"")</f>
        <v/>
      </c>
      <c r="G237" s="46" t="b">
        <f aca="false">AND(A237,OR(C237,F237&lt;&gt;F236))</f>
        <v>0</v>
      </c>
      <c r="H237" s="1" t="n">
        <f aca="false">IF(A237,COUNTIFS($B$2:$B$261,B237,$F$2:$F$261,F237),0)</f>
        <v>0</v>
      </c>
      <c r="I237" s="1" t="str">
        <f aca="false">IF(C237,"\multirow{"&amp;E237&amp;"}{*}{"&amp;B237&amp;"}","")</f>
        <v/>
      </c>
      <c r="J237" s="1" t="str">
        <f aca="false">IF(G237,IF(H237=1,F237,"\multirow{"&amp;H237&amp;"}{*}{"&amp;F237&amp;"}"),"")</f>
        <v/>
      </c>
      <c r="K237" s="1" t="str">
        <f aca="false">IF(A237,TEXT(Dates!K237,"00"),"")</f>
        <v/>
      </c>
      <c r="L237" s="1" t="str">
        <f aca="false">IF(A237,Dates!H237&amp;IF(C237,Settings!$B$2,""),"")</f>
        <v/>
      </c>
      <c r="M237" s="1" t="str">
        <f aca="false">IF(A237,IF(Schedule!I237="","",IF(ISNUMBER(Schedule!I237),IF(Schedule!I237&lt;10,Settings!$B$6&amp;TEXT(Schedule!I237,"#"),Schedule!I237),Schedule!I237)),"")</f>
        <v/>
      </c>
      <c r="N237" s="1" t="str">
        <f aca="false">IF(A237,IF(Schedule!J237="","",Schedule!J237),"")</f>
        <v/>
      </c>
      <c r="O237" s="1" t="str">
        <f aca="false">IF(A237,IF(AND(Settings!$B$14="longtable",NOT(D237)),Settings!$B$15,Settings!$B$3),"")</f>
        <v/>
      </c>
      <c r="P237" s="1" t="str">
        <f aca="false">IF(D237,Settings!$B$4,"")</f>
        <v/>
      </c>
    </row>
    <row r="238" customFormat="false" ht="15" hidden="false" customHeight="false" outlineLevel="0" collapsed="false">
      <c r="A238" s="46" t="b">
        <f aca="false">AND(Dates!F238&lt;&gt;"",ROW()&lt;=Settings!$B$13)</f>
        <v>0</v>
      </c>
      <c r="B238" s="1" t="str">
        <f aca="false">IF(NOT(A238),"",IF(Dates!D238&lt;&gt;"",Dates!D238,IF(ROW()=2,"",B237)))</f>
        <v/>
      </c>
      <c r="C238" s="46" t="b">
        <f aca="false">AND(A238,OR(ROW()=2,B238&lt;&gt;B237))</f>
        <v>0</v>
      </c>
      <c r="D238" s="46" t="b">
        <f aca="false">AND(A238,OR(NOT(A239),B239&lt;&gt;B238))</f>
        <v>0</v>
      </c>
      <c r="E238" s="1" t="n">
        <f aca="false">IF(A238,COUNTIF($B$2:$B$261,B238),0)</f>
        <v>0</v>
      </c>
      <c r="F238" s="1" t="str">
        <f aca="false">IF(A238,Dates!J238,"")</f>
        <v/>
      </c>
      <c r="G238" s="46" t="b">
        <f aca="false">AND(A238,OR(C238,F238&lt;&gt;F237))</f>
        <v>0</v>
      </c>
      <c r="H238" s="1" t="n">
        <f aca="false">IF(A238,COUNTIFS($B$2:$B$261,B238,$F$2:$F$261,F238),0)</f>
        <v>0</v>
      </c>
      <c r="I238" s="1" t="str">
        <f aca="false">IF(C238,"\multirow{"&amp;E238&amp;"}{*}{"&amp;B238&amp;"}","")</f>
        <v/>
      </c>
      <c r="J238" s="1" t="str">
        <f aca="false">IF(G238,IF(H238=1,F238,"\multirow{"&amp;H238&amp;"}{*}{"&amp;F238&amp;"}"),"")</f>
        <v/>
      </c>
      <c r="K238" s="1" t="str">
        <f aca="false">IF(A238,TEXT(Dates!K238,"00"),"")</f>
        <v/>
      </c>
      <c r="L238" s="1" t="str">
        <f aca="false">IF(A238,Dates!H238&amp;IF(C238,Settings!$B$2,""),"")</f>
        <v/>
      </c>
      <c r="M238" s="1" t="str">
        <f aca="false">IF(A238,IF(Schedule!I238="","",IF(ISNUMBER(Schedule!I238),IF(Schedule!I238&lt;10,Settings!$B$6&amp;TEXT(Schedule!I238,"#"),Schedule!I238),Schedule!I238)),"")</f>
        <v/>
      </c>
      <c r="N238" s="1" t="str">
        <f aca="false">IF(A238,IF(Schedule!J238="","",Schedule!J238),"")</f>
        <v/>
      </c>
      <c r="O238" s="1" t="str">
        <f aca="false">IF(A238,IF(AND(Settings!$B$14="longtable",NOT(D238)),Settings!$B$15,Settings!$B$3),"")</f>
        <v/>
      </c>
      <c r="P238" s="1" t="str">
        <f aca="false">IF(D238,Settings!$B$4,"")</f>
        <v/>
      </c>
    </row>
    <row r="239" customFormat="false" ht="15" hidden="false" customHeight="false" outlineLevel="0" collapsed="false">
      <c r="A239" s="46" t="b">
        <f aca="false">AND(Dates!F239&lt;&gt;"",ROW()&lt;=Settings!$B$13)</f>
        <v>0</v>
      </c>
      <c r="B239" s="1" t="str">
        <f aca="false">IF(NOT(A239),"",IF(Dates!D239&lt;&gt;"",Dates!D239,IF(ROW()=2,"",B238)))</f>
        <v/>
      </c>
      <c r="C239" s="46" t="b">
        <f aca="false">AND(A239,OR(ROW()=2,B239&lt;&gt;B238))</f>
        <v>0</v>
      </c>
      <c r="D239" s="46" t="b">
        <f aca="false">AND(A239,OR(NOT(A240),B240&lt;&gt;B239))</f>
        <v>0</v>
      </c>
      <c r="E239" s="1" t="n">
        <f aca="false">IF(A239,COUNTIF($B$2:$B$261,B239),0)</f>
        <v>0</v>
      </c>
      <c r="F239" s="1" t="str">
        <f aca="false">IF(A239,Dates!J239,"")</f>
        <v/>
      </c>
      <c r="G239" s="46" t="b">
        <f aca="false">AND(A239,OR(C239,F239&lt;&gt;F238))</f>
        <v>0</v>
      </c>
      <c r="H239" s="1" t="n">
        <f aca="false">IF(A239,COUNTIFS($B$2:$B$261,B239,$F$2:$F$261,F239),0)</f>
        <v>0</v>
      </c>
      <c r="I239" s="1" t="str">
        <f aca="false">IF(C239,"\multirow{"&amp;E239&amp;"}{*}{"&amp;B239&amp;"}","")</f>
        <v/>
      </c>
      <c r="J239" s="1" t="str">
        <f aca="false">IF(G239,IF(H239=1,F239,"\multirow{"&amp;H239&amp;"}{*}{"&amp;F239&amp;"}"),"")</f>
        <v/>
      </c>
      <c r="K239" s="1" t="str">
        <f aca="false">IF(A239,TEXT(Dates!K239,"00"),"")</f>
        <v/>
      </c>
      <c r="L239" s="1" t="str">
        <f aca="false">IF(A239,Dates!H239&amp;IF(C239,Settings!$B$2,""),"")</f>
        <v/>
      </c>
      <c r="M239" s="1" t="str">
        <f aca="false">IF(A239,IF(Schedule!I239="","",IF(ISNUMBER(Schedule!I239),IF(Schedule!I239&lt;10,Settings!$B$6&amp;TEXT(Schedule!I239,"#"),Schedule!I239),Schedule!I239)),"")</f>
        <v/>
      </c>
      <c r="N239" s="1" t="str">
        <f aca="false">IF(A239,IF(Schedule!J239="","",Schedule!J239),"")</f>
        <v/>
      </c>
      <c r="O239" s="1" t="str">
        <f aca="false">IF(A239,IF(AND(Settings!$B$14="longtable",NOT(D239)),Settings!$B$15,Settings!$B$3),"")</f>
        <v/>
      </c>
      <c r="P239" s="1" t="str">
        <f aca="false">IF(D239,Settings!$B$4,"")</f>
        <v/>
      </c>
    </row>
    <row r="240" customFormat="false" ht="15" hidden="false" customHeight="false" outlineLevel="0" collapsed="false">
      <c r="A240" s="46" t="b">
        <f aca="false">AND(Dates!F240&lt;&gt;"",ROW()&lt;=Settings!$B$13)</f>
        <v>0</v>
      </c>
      <c r="B240" s="1" t="str">
        <f aca="false">IF(NOT(A240),"",IF(Dates!D240&lt;&gt;"",Dates!D240,IF(ROW()=2,"",B239)))</f>
        <v/>
      </c>
      <c r="C240" s="46" t="b">
        <f aca="false">AND(A240,OR(ROW()=2,B240&lt;&gt;B239))</f>
        <v>0</v>
      </c>
      <c r="D240" s="46" t="b">
        <f aca="false">AND(A240,OR(NOT(A241),B241&lt;&gt;B240))</f>
        <v>0</v>
      </c>
      <c r="E240" s="1" t="n">
        <f aca="false">IF(A240,COUNTIF($B$2:$B$261,B240),0)</f>
        <v>0</v>
      </c>
      <c r="F240" s="1" t="str">
        <f aca="false">IF(A240,Dates!J240,"")</f>
        <v/>
      </c>
      <c r="G240" s="46" t="b">
        <f aca="false">AND(A240,OR(C240,F240&lt;&gt;F239))</f>
        <v>0</v>
      </c>
      <c r="H240" s="1" t="n">
        <f aca="false">IF(A240,COUNTIFS($B$2:$B$261,B240,$F$2:$F$261,F240),0)</f>
        <v>0</v>
      </c>
      <c r="I240" s="1" t="str">
        <f aca="false">IF(C240,"\multirow{"&amp;E240&amp;"}{*}{"&amp;B240&amp;"}","")</f>
        <v/>
      </c>
      <c r="J240" s="1" t="str">
        <f aca="false">IF(G240,IF(H240=1,F240,"\multirow{"&amp;H240&amp;"}{*}{"&amp;F240&amp;"}"),"")</f>
        <v/>
      </c>
      <c r="K240" s="1" t="str">
        <f aca="false">IF(A240,TEXT(Dates!K240,"00"),"")</f>
        <v/>
      </c>
      <c r="L240" s="1" t="str">
        <f aca="false">IF(A240,Dates!H240&amp;IF(C240,Settings!$B$2,""),"")</f>
        <v/>
      </c>
      <c r="M240" s="1" t="str">
        <f aca="false">IF(A240,IF(Schedule!I240="","",IF(ISNUMBER(Schedule!I240),IF(Schedule!I240&lt;10,Settings!$B$6&amp;TEXT(Schedule!I240,"#"),Schedule!I240),Schedule!I240)),"")</f>
        <v/>
      </c>
      <c r="N240" s="1" t="str">
        <f aca="false">IF(A240,IF(Schedule!J240="","",Schedule!J240),"")</f>
        <v/>
      </c>
      <c r="O240" s="1" t="str">
        <f aca="false">IF(A240,IF(AND(Settings!$B$14="longtable",NOT(D240)),Settings!$B$15,Settings!$B$3),"")</f>
        <v/>
      </c>
      <c r="P240" s="1" t="str">
        <f aca="false">IF(D240,Settings!$B$4,"")</f>
        <v/>
      </c>
    </row>
    <row r="241" customFormat="false" ht="15" hidden="false" customHeight="false" outlineLevel="0" collapsed="false">
      <c r="A241" s="46" t="b">
        <f aca="false">AND(Dates!F241&lt;&gt;"",ROW()&lt;=Settings!$B$13)</f>
        <v>0</v>
      </c>
      <c r="B241" s="1" t="str">
        <f aca="false">IF(NOT(A241),"",IF(Dates!D241&lt;&gt;"",Dates!D241,IF(ROW()=2,"",B240)))</f>
        <v/>
      </c>
      <c r="C241" s="46" t="b">
        <f aca="false">AND(A241,OR(ROW()=2,B241&lt;&gt;B240))</f>
        <v>0</v>
      </c>
      <c r="D241" s="46" t="b">
        <f aca="false">AND(A241,OR(NOT(A242),B242&lt;&gt;B241))</f>
        <v>0</v>
      </c>
      <c r="E241" s="1" t="n">
        <f aca="false">IF(A241,COUNTIF($B$2:$B$261,B241),0)</f>
        <v>0</v>
      </c>
      <c r="F241" s="1" t="str">
        <f aca="false">IF(A241,Dates!J241,"")</f>
        <v/>
      </c>
      <c r="G241" s="46" t="b">
        <f aca="false">AND(A241,OR(C241,F241&lt;&gt;F240))</f>
        <v>0</v>
      </c>
      <c r="H241" s="1" t="n">
        <f aca="false">IF(A241,COUNTIFS($B$2:$B$261,B241,$F$2:$F$261,F241),0)</f>
        <v>0</v>
      </c>
      <c r="I241" s="1" t="str">
        <f aca="false">IF(C241,"\multirow{"&amp;E241&amp;"}{*}{"&amp;B241&amp;"}","")</f>
        <v/>
      </c>
      <c r="J241" s="1" t="str">
        <f aca="false">IF(G241,IF(H241=1,F241,"\multirow{"&amp;H241&amp;"}{*}{"&amp;F241&amp;"}"),"")</f>
        <v/>
      </c>
      <c r="K241" s="1" t="str">
        <f aca="false">IF(A241,TEXT(Dates!K241,"00"),"")</f>
        <v/>
      </c>
      <c r="L241" s="1" t="str">
        <f aca="false">IF(A241,Dates!H241&amp;IF(C241,Settings!$B$2,""),"")</f>
        <v/>
      </c>
      <c r="M241" s="1" t="str">
        <f aca="false">IF(A241,IF(Schedule!I241="","",IF(ISNUMBER(Schedule!I241),IF(Schedule!I241&lt;10,Settings!$B$6&amp;TEXT(Schedule!I241,"#"),Schedule!I241),Schedule!I241)),"")</f>
        <v/>
      </c>
      <c r="N241" s="1" t="str">
        <f aca="false">IF(A241,IF(Schedule!J241="","",Schedule!J241),"")</f>
        <v/>
      </c>
      <c r="O241" s="1" t="str">
        <f aca="false">IF(A241,IF(AND(Settings!$B$14="longtable",NOT(D241)),Settings!$B$15,Settings!$B$3),"")</f>
        <v/>
      </c>
      <c r="P241" s="1" t="str">
        <f aca="false">IF(D241,Settings!$B$4,"")</f>
        <v/>
      </c>
    </row>
    <row r="242" customFormat="false" ht="15" hidden="false" customHeight="false" outlineLevel="0" collapsed="false">
      <c r="A242" s="46" t="b">
        <f aca="false">AND(Dates!F242&lt;&gt;"",ROW()&lt;=Settings!$B$13)</f>
        <v>0</v>
      </c>
      <c r="B242" s="1" t="str">
        <f aca="false">IF(NOT(A242),"",IF(Dates!D242&lt;&gt;"",Dates!D242,IF(ROW()=2,"",B241)))</f>
        <v/>
      </c>
      <c r="C242" s="46" t="b">
        <f aca="false">AND(A242,OR(ROW()=2,B242&lt;&gt;B241))</f>
        <v>0</v>
      </c>
      <c r="D242" s="46" t="b">
        <f aca="false">AND(A242,OR(NOT(A243),B243&lt;&gt;B242))</f>
        <v>0</v>
      </c>
      <c r="E242" s="1" t="n">
        <f aca="false">IF(A242,COUNTIF($B$2:$B$261,B242),0)</f>
        <v>0</v>
      </c>
      <c r="F242" s="1" t="str">
        <f aca="false">IF(A242,Dates!J242,"")</f>
        <v/>
      </c>
      <c r="G242" s="46" t="b">
        <f aca="false">AND(A242,OR(C242,F242&lt;&gt;F241))</f>
        <v>0</v>
      </c>
      <c r="H242" s="1" t="n">
        <f aca="false">IF(A242,COUNTIFS($B$2:$B$261,B242,$F$2:$F$261,F242),0)</f>
        <v>0</v>
      </c>
      <c r="I242" s="1" t="str">
        <f aca="false">IF(C242,"\multirow{"&amp;E242&amp;"}{*}{"&amp;B242&amp;"}","")</f>
        <v/>
      </c>
      <c r="J242" s="1" t="str">
        <f aca="false">IF(G242,IF(H242=1,F242,"\multirow{"&amp;H242&amp;"}{*}{"&amp;F242&amp;"}"),"")</f>
        <v/>
      </c>
      <c r="K242" s="1" t="str">
        <f aca="false">IF(A242,TEXT(Dates!K242,"00"),"")</f>
        <v/>
      </c>
      <c r="L242" s="1" t="str">
        <f aca="false">IF(A242,Dates!H242&amp;IF(C242,Settings!$B$2,""),"")</f>
        <v/>
      </c>
      <c r="M242" s="1" t="str">
        <f aca="false">IF(A242,IF(Schedule!I242="","",IF(ISNUMBER(Schedule!I242),IF(Schedule!I242&lt;10,Settings!$B$6&amp;TEXT(Schedule!I242,"#"),Schedule!I242),Schedule!I242)),"")</f>
        <v/>
      </c>
      <c r="N242" s="1" t="str">
        <f aca="false">IF(A242,IF(Schedule!J242="","",Schedule!J242),"")</f>
        <v/>
      </c>
      <c r="O242" s="1" t="str">
        <f aca="false">IF(A242,IF(AND(Settings!$B$14="longtable",NOT(D242)),Settings!$B$15,Settings!$B$3),"")</f>
        <v/>
      </c>
      <c r="P242" s="1" t="str">
        <f aca="false">IF(D242,Settings!$B$4,"")</f>
        <v/>
      </c>
    </row>
    <row r="243" customFormat="false" ht="15" hidden="false" customHeight="false" outlineLevel="0" collapsed="false">
      <c r="A243" s="46" t="b">
        <f aca="false">AND(Dates!F243&lt;&gt;"",ROW()&lt;=Settings!$B$13)</f>
        <v>0</v>
      </c>
      <c r="B243" s="1" t="str">
        <f aca="false">IF(NOT(A243),"",IF(Dates!D243&lt;&gt;"",Dates!D243,IF(ROW()=2,"",B242)))</f>
        <v/>
      </c>
      <c r="C243" s="46" t="b">
        <f aca="false">AND(A243,OR(ROW()=2,B243&lt;&gt;B242))</f>
        <v>0</v>
      </c>
      <c r="D243" s="46" t="b">
        <f aca="false">AND(A243,OR(NOT(A244),B244&lt;&gt;B243))</f>
        <v>0</v>
      </c>
      <c r="E243" s="1" t="n">
        <f aca="false">IF(A243,COUNTIF($B$2:$B$261,B243),0)</f>
        <v>0</v>
      </c>
      <c r="F243" s="1" t="str">
        <f aca="false">IF(A243,Dates!J243,"")</f>
        <v/>
      </c>
      <c r="G243" s="46" t="b">
        <f aca="false">AND(A243,OR(C243,F243&lt;&gt;F242))</f>
        <v>0</v>
      </c>
      <c r="H243" s="1" t="n">
        <f aca="false">IF(A243,COUNTIFS($B$2:$B$261,B243,$F$2:$F$261,F243),0)</f>
        <v>0</v>
      </c>
      <c r="I243" s="1" t="str">
        <f aca="false">IF(C243,"\multirow{"&amp;E243&amp;"}{*}{"&amp;B243&amp;"}","")</f>
        <v/>
      </c>
      <c r="J243" s="1" t="str">
        <f aca="false">IF(G243,IF(H243=1,F243,"\multirow{"&amp;H243&amp;"}{*}{"&amp;F243&amp;"}"),"")</f>
        <v/>
      </c>
      <c r="K243" s="1" t="str">
        <f aca="false">IF(A243,TEXT(Dates!K243,"00"),"")</f>
        <v/>
      </c>
      <c r="L243" s="1" t="str">
        <f aca="false">IF(A243,Dates!H243&amp;IF(C243,Settings!$B$2,""),"")</f>
        <v/>
      </c>
      <c r="M243" s="1" t="str">
        <f aca="false">IF(A243,IF(Schedule!I243="","",IF(ISNUMBER(Schedule!I243),IF(Schedule!I243&lt;10,Settings!$B$6&amp;TEXT(Schedule!I243,"#"),Schedule!I243),Schedule!I243)),"")</f>
        <v/>
      </c>
      <c r="N243" s="1" t="str">
        <f aca="false">IF(A243,IF(Schedule!J243="","",Schedule!J243),"")</f>
        <v/>
      </c>
      <c r="O243" s="1" t="str">
        <f aca="false">IF(A243,IF(AND(Settings!$B$14="longtable",NOT(D243)),Settings!$B$15,Settings!$B$3),"")</f>
        <v/>
      </c>
      <c r="P243" s="1" t="str">
        <f aca="false">IF(D243,Settings!$B$4,"")</f>
        <v/>
      </c>
    </row>
    <row r="244" customFormat="false" ht="15" hidden="false" customHeight="false" outlineLevel="0" collapsed="false">
      <c r="A244" s="46" t="b">
        <f aca="false">AND(Dates!F244&lt;&gt;"",ROW()&lt;=Settings!$B$13)</f>
        <v>0</v>
      </c>
      <c r="B244" s="1" t="str">
        <f aca="false">IF(NOT(A244),"",IF(Dates!D244&lt;&gt;"",Dates!D244,IF(ROW()=2,"",B243)))</f>
        <v/>
      </c>
      <c r="C244" s="46" t="b">
        <f aca="false">AND(A244,OR(ROW()=2,B244&lt;&gt;B243))</f>
        <v>0</v>
      </c>
      <c r="D244" s="46" t="b">
        <f aca="false">AND(A244,OR(NOT(A245),B245&lt;&gt;B244))</f>
        <v>0</v>
      </c>
      <c r="E244" s="1" t="n">
        <f aca="false">IF(A244,COUNTIF($B$2:$B$261,B244),0)</f>
        <v>0</v>
      </c>
      <c r="F244" s="1" t="str">
        <f aca="false">IF(A244,Dates!J244,"")</f>
        <v/>
      </c>
      <c r="G244" s="46" t="b">
        <f aca="false">AND(A244,OR(C244,F244&lt;&gt;F243))</f>
        <v>0</v>
      </c>
      <c r="H244" s="1" t="n">
        <f aca="false">IF(A244,COUNTIFS($B$2:$B$261,B244,$F$2:$F$261,F244),0)</f>
        <v>0</v>
      </c>
      <c r="I244" s="1" t="str">
        <f aca="false">IF(C244,"\multirow{"&amp;E244&amp;"}{*}{"&amp;B244&amp;"}","")</f>
        <v/>
      </c>
      <c r="J244" s="1" t="str">
        <f aca="false">IF(G244,IF(H244=1,F244,"\multirow{"&amp;H244&amp;"}{*}{"&amp;F244&amp;"}"),"")</f>
        <v/>
      </c>
      <c r="K244" s="1" t="str">
        <f aca="false">IF(A244,TEXT(Dates!K244,"00"),"")</f>
        <v/>
      </c>
      <c r="L244" s="1" t="str">
        <f aca="false">IF(A244,Dates!H244&amp;IF(C244,Settings!$B$2,""),"")</f>
        <v/>
      </c>
      <c r="M244" s="1" t="str">
        <f aca="false">IF(A244,IF(Schedule!I244="","",IF(ISNUMBER(Schedule!I244),IF(Schedule!I244&lt;10,Settings!$B$6&amp;TEXT(Schedule!I244,"#"),Schedule!I244),Schedule!I244)),"")</f>
        <v/>
      </c>
      <c r="N244" s="1" t="str">
        <f aca="false">IF(A244,IF(Schedule!J244="","",Schedule!J244),"")</f>
        <v/>
      </c>
      <c r="O244" s="1" t="str">
        <f aca="false">IF(A244,IF(AND(Settings!$B$14="longtable",NOT(D244)),Settings!$B$15,Settings!$B$3),"")</f>
        <v/>
      </c>
      <c r="P244" s="1" t="str">
        <f aca="false">IF(D244,Settings!$B$4,"")</f>
        <v/>
      </c>
    </row>
    <row r="245" customFormat="false" ht="15" hidden="false" customHeight="false" outlineLevel="0" collapsed="false">
      <c r="A245" s="46" t="b">
        <f aca="false">AND(Dates!F245&lt;&gt;"",ROW()&lt;=Settings!$B$13)</f>
        <v>0</v>
      </c>
      <c r="B245" s="1" t="str">
        <f aca="false">IF(NOT(A245),"",IF(Dates!D245&lt;&gt;"",Dates!D245,IF(ROW()=2,"",B244)))</f>
        <v/>
      </c>
      <c r="C245" s="46" t="b">
        <f aca="false">AND(A245,OR(ROW()=2,B245&lt;&gt;B244))</f>
        <v>0</v>
      </c>
      <c r="D245" s="46" t="b">
        <f aca="false">AND(A245,OR(NOT(A246),B246&lt;&gt;B245))</f>
        <v>0</v>
      </c>
      <c r="E245" s="1" t="n">
        <f aca="false">IF(A245,COUNTIF($B$2:$B$261,B245),0)</f>
        <v>0</v>
      </c>
      <c r="F245" s="1" t="str">
        <f aca="false">IF(A245,Dates!J245,"")</f>
        <v/>
      </c>
      <c r="G245" s="46" t="b">
        <f aca="false">AND(A245,OR(C245,F245&lt;&gt;F244))</f>
        <v>0</v>
      </c>
      <c r="H245" s="1" t="n">
        <f aca="false">IF(A245,COUNTIFS($B$2:$B$261,B245,$F$2:$F$261,F245),0)</f>
        <v>0</v>
      </c>
      <c r="I245" s="1" t="str">
        <f aca="false">IF(C245,"\multirow{"&amp;E245&amp;"}{*}{"&amp;B245&amp;"}","")</f>
        <v/>
      </c>
      <c r="J245" s="1" t="str">
        <f aca="false">IF(G245,IF(H245=1,F245,"\multirow{"&amp;H245&amp;"}{*}{"&amp;F245&amp;"}"),"")</f>
        <v/>
      </c>
      <c r="K245" s="1" t="str">
        <f aca="false">IF(A245,TEXT(Dates!K245,"00"),"")</f>
        <v/>
      </c>
      <c r="L245" s="1" t="str">
        <f aca="false">IF(A245,Dates!H245&amp;IF(C245,Settings!$B$2,""),"")</f>
        <v/>
      </c>
      <c r="M245" s="1" t="str">
        <f aca="false">IF(A245,IF(Schedule!I245="","",IF(ISNUMBER(Schedule!I245),IF(Schedule!I245&lt;10,Settings!$B$6&amp;TEXT(Schedule!I245,"#"),Schedule!I245),Schedule!I245)),"")</f>
        <v/>
      </c>
      <c r="N245" s="1" t="str">
        <f aca="false">IF(A245,IF(Schedule!J245="","",Schedule!J245),"")</f>
        <v/>
      </c>
      <c r="O245" s="1" t="str">
        <f aca="false">IF(A245,IF(AND(Settings!$B$14="longtable",NOT(D245)),Settings!$B$15,Settings!$B$3),"")</f>
        <v/>
      </c>
      <c r="P245" s="1" t="str">
        <f aca="false">IF(D245,Settings!$B$4,"")</f>
        <v/>
      </c>
    </row>
    <row r="246" customFormat="false" ht="15" hidden="false" customHeight="false" outlineLevel="0" collapsed="false">
      <c r="A246" s="46" t="b">
        <f aca="false">AND(Dates!F246&lt;&gt;"",ROW()&lt;=Settings!$B$13)</f>
        <v>0</v>
      </c>
      <c r="B246" s="1" t="str">
        <f aca="false">IF(NOT(A246),"",IF(Dates!D246&lt;&gt;"",Dates!D246,IF(ROW()=2,"",B245)))</f>
        <v/>
      </c>
      <c r="C246" s="46" t="b">
        <f aca="false">AND(A246,OR(ROW()=2,B246&lt;&gt;B245))</f>
        <v>0</v>
      </c>
      <c r="D246" s="46" t="b">
        <f aca="false">AND(A246,OR(NOT(A247),B247&lt;&gt;B246))</f>
        <v>0</v>
      </c>
      <c r="E246" s="1" t="n">
        <f aca="false">IF(A246,COUNTIF($B$2:$B$261,B246),0)</f>
        <v>0</v>
      </c>
      <c r="F246" s="1" t="str">
        <f aca="false">IF(A246,Dates!J246,"")</f>
        <v/>
      </c>
      <c r="G246" s="46" t="b">
        <f aca="false">AND(A246,OR(C246,F246&lt;&gt;F245))</f>
        <v>0</v>
      </c>
      <c r="H246" s="1" t="n">
        <f aca="false">IF(A246,COUNTIFS($B$2:$B$261,B246,$F$2:$F$261,F246),0)</f>
        <v>0</v>
      </c>
      <c r="I246" s="1" t="str">
        <f aca="false">IF(C246,"\multirow{"&amp;E246&amp;"}{*}{"&amp;B246&amp;"}","")</f>
        <v/>
      </c>
      <c r="J246" s="1" t="str">
        <f aca="false">IF(G246,IF(H246=1,F246,"\multirow{"&amp;H246&amp;"}{*}{"&amp;F246&amp;"}"),"")</f>
        <v/>
      </c>
      <c r="K246" s="1" t="str">
        <f aca="false">IF(A246,TEXT(Dates!K246,"00"),"")</f>
        <v/>
      </c>
      <c r="L246" s="1" t="str">
        <f aca="false">IF(A246,Dates!H246&amp;IF(C246,Settings!$B$2,""),"")</f>
        <v/>
      </c>
      <c r="M246" s="1" t="str">
        <f aca="false">IF(A246,IF(Schedule!I246="","",IF(ISNUMBER(Schedule!I246),IF(Schedule!I246&lt;10,Settings!$B$6&amp;TEXT(Schedule!I246,"#"),Schedule!I246),Schedule!I246)),"")</f>
        <v/>
      </c>
      <c r="N246" s="1" t="str">
        <f aca="false">IF(A246,IF(Schedule!J246="","",Schedule!J246),"")</f>
        <v/>
      </c>
      <c r="O246" s="1" t="str">
        <f aca="false">IF(A246,IF(AND(Settings!$B$14="longtable",NOT(D246)),Settings!$B$15,Settings!$B$3),"")</f>
        <v/>
      </c>
      <c r="P246" s="1" t="str">
        <f aca="false">IF(D246,Settings!$B$4,"")</f>
        <v/>
      </c>
    </row>
    <row r="247" customFormat="false" ht="15" hidden="false" customHeight="false" outlineLevel="0" collapsed="false">
      <c r="A247" s="46" t="b">
        <f aca="false">AND(Dates!F247&lt;&gt;"",ROW()&lt;=Settings!$B$13)</f>
        <v>0</v>
      </c>
      <c r="B247" s="1" t="str">
        <f aca="false">IF(NOT(A247),"",IF(Dates!D247&lt;&gt;"",Dates!D247,IF(ROW()=2,"",B246)))</f>
        <v/>
      </c>
      <c r="C247" s="46" t="b">
        <f aca="false">AND(A247,OR(ROW()=2,B247&lt;&gt;B246))</f>
        <v>0</v>
      </c>
      <c r="D247" s="46" t="b">
        <f aca="false">AND(A247,OR(NOT(A248),B248&lt;&gt;B247))</f>
        <v>0</v>
      </c>
      <c r="E247" s="1" t="n">
        <f aca="false">IF(A247,COUNTIF($B$2:$B$261,B247),0)</f>
        <v>0</v>
      </c>
      <c r="F247" s="1" t="str">
        <f aca="false">IF(A247,Dates!J247,"")</f>
        <v/>
      </c>
      <c r="G247" s="46" t="b">
        <f aca="false">AND(A247,OR(C247,F247&lt;&gt;F246))</f>
        <v>0</v>
      </c>
      <c r="H247" s="1" t="n">
        <f aca="false">IF(A247,COUNTIFS($B$2:$B$261,B247,$F$2:$F$261,F247),0)</f>
        <v>0</v>
      </c>
      <c r="I247" s="1" t="str">
        <f aca="false">IF(C247,"\multirow{"&amp;E247&amp;"}{*}{"&amp;B247&amp;"}","")</f>
        <v/>
      </c>
      <c r="J247" s="1" t="str">
        <f aca="false">IF(G247,IF(H247=1,F247,"\multirow{"&amp;H247&amp;"}{*}{"&amp;F247&amp;"}"),"")</f>
        <v/>
      </c>
      <c r="K247" s="1" t="str">
        <f aca="false">IF(A247,TEXT(Dates!K247,"00"),"")</f>
        <v/>
      </c>
      <c r="L247" s="1" t="str">
        <f aca="false">IF(A247,Dates!H247&amp;IF(C247,Settings!$B$2,""),"")</f>
        <v/>
      </c>
      <c r="M247" s="1" t="str">
        <f aca="false">IF(A247,IF(Schedule!I247="","",IF(ISNUMBER(Schedule!I247),IF(Schedule!I247&lt;10,Settings!$B$6&amp;TEXT(Schedule!I247,"#"),Schedule!I247),Schedule!I247)),"")</f>
        <v/>
      </c>
      <c r="N247" s="1" t="str">
        <f aca="false">IF(A247,IF(Schedule!J247="","",Schedule!J247),"")</f>
        <v/>
      </c>
      <c r="O247" s="1" t="str">
        <f aca="false">IF(A247,IF(AND(Settings!$B$14="longtable",NOT(D247)),Settings!$B$15,Settings!$B$3),"")</f>
        <v/>
      </c>
      <c r="P247" s="1" t="str">
        <f aca="false">IF(D247,Settings!$B$4,"")</f>
        <v/>
      </c>
    </row>
    <row r="248" customFormat="false" ht="15" hidden="false" customHeight="false" outlineLevel="0" collapsed="false">
      <c r="A248" s="46" t="b">
        <f aca="false">AND(Dates!F248&lt;&gt;"",ROW()&lt;=Settings!$B$13)</f>
        <v>0</v>
      </c>
      <c r="B248" s="1" t="str">
        <f aca="false">IF(NOT(A248),"",IF(Dates!D248&lt;&gt;"",Dates!D248,IF(ROW()=2,"",B247)))</f>
        <v/>
      </c>
      <c r="C248" s="46" t="b">
        <f aca="false">AND(A248,OR(ROW()=2,B248&lt;&gt;B247))</f>
        <v>0</v>
      </c>
      <c r="D248" s="46" t="b">
        <f aca="false">AND(A248,OR(NOT(A249),B249&lt;&gt;B248))</f>
        <v>0</v>
      </c>
      <c r="E248" s="1" t="n">
        <f aca="false">IF(A248,COUNTIF($B$2:$B$261,B248),0)</f>
        <v>0</v>
      </c>
      <c r="F248" s="1" t="str">
        <f aca="false">IF(A248,Dates!J248,"")</f>
        <v/>
      </c>
      <c r="G248" s="46" t="b">
        <f aca="false">AND(A248,OR(C248,F248&lt;&gt;F247))</f>
        <v>0</v>
      </c>
      <c r="H248" s="1" t="n">
        <f aca="false">IF(A248,COUNTIFS($B$2:$B$261,B248,$F$2:$F$261,F248),0)</f>
        <v>0</v>
      </c>
      <c r="I248" s="1" t="str">
        <f aca="false">IF(C248,"\multirow{"&amp;E248&amp;"}{*}{"&amp;B248&amp;"}","")</f>
        <v/>
      </c>
      <c r="J248" s="1" t="str">
        <f aca="false">IF(G248,IF(H248=1,F248,"\multirow{"&amp;H248&amp;"}{*}{"&amp;F248&amp;"}"),"")</f>
        <v/>
      </c>
      <c r="K248" s="1" t="str">
        <f aca="false">IF(A248,TEXT(Dates!K248,"00"),"")</f>
        <v/>
      </c>
      <c r="L248" s="1" t="str">
        <f aca="false">IF(A248,Dates!H248&amp;IF(C248,Settings!$B$2,""),"")</f>
        <v/>
      </c>
      <c r="M248" s="1" t="str">
        <f aca="false">IF(A248,IF(Schedule!I248="","",IF(ISNUMBER(Schedule!I248),IF(Schedule!I248&lt;10,Settings!$B$6&amp;TEXT(Schedule!I248,"#"),Schedule!I248),Schedule!I248)),"")</f>
        <v/>
      </c>
      <c r="N248" s="1" t="str">
        <f aca="false">IF(A248,IF(Schedule!J248="","",Schedule!J248),"")</f>
        <v/>
      </c>
      <c r="O248" s="1" t="str">
        <f aca="false">IF(A248,IF(AND(Settings!$B$14="longtable",NOT(D248)),Settings!$B$15,Settings!$B$3),"")</f>
        <v/>
      </c>
      <c r="P248" s="1" t="str">
        <f aca="false">IF(D248,Settings!$B$4,"")</f>
        <v/>
      </c>
    </row>
    <row r="249" customFormat="false" ht="15" hidden="false" customHeight="false" outlineLevel="0" collapsed="false">
      <c r="A249" s="46" t="b">
        <f aca="false">AND(Dates!F249&lt;&gt;"",ROW()&lt;=Settings!$B$13)</f>
        <v>0</v>
      </c>
      <c r="B249" s="1" t="str">
        <f aca="false">IF(NOT(A249),"",IF(Dates!D249&lt;&gt;"",Dates!D249,IF(ROW()=2,"",B248)))</f>
        <v/>
      </c>
      <c r="C249" s="46" t="b">
        <f aca="false">AND(A249,OR(ROW()=2,B249&lt;&gt;B248))</f>
        <v>0</v>
      </c>
      <c r="D249" s="46" t="b">
        <f aca="false">AND(A249,OR(NOT(A250),B250&lt;&gt;B249))</f>
        <v>0</v>
      </c>
      <c r="E249" s="1" t="n">
        <f aca="false">IF(A249,COUNTIF($B$2:$B$261,B249),0)</f>
        <v>0</v>
      </c>
      <c r="F249" s="1" t="str">
        <f aca="false">IF(A249,Dates!J249,"")</f>
        <v/>
      </c>
      <c r="G249" s="46" t="b">
        <f aca="false">AND(A249,OR(C249,F249&lt;&gt;F248))</f>
        <v>0</v>
      </c>
      <c r="H249" s="1" t="n">
        <f aca="false">IF(A249,COUNTIFS($B$2:$B$261,B249,$F$2:$F$261,F249),0)</f>
        <v>0</v>
      </c>
      <c r="I249" s="1" t="str">
        <f aca="false">IF(C249,"\multirow{"&amp;E249&amp;"}{*}{"&amp;B249&amp;"}","")</f>
        <v/>
      </c>
      <c r="J249" s="1" t="str">
        <f aca="false">IF(G249,IF(H249=1,F249,"\multirow{"&amp;H249&amp;"}{*}{"&amp;F249&amp;"}"),"")</f>
        <v/>
      </c>
      <c r="K249" s="1" t="str">
        <f aca="false">IF(A249,TEXT(Dates!K249,"00"),"")</f>
        <v/>
      </c>
      <c r="L249" s="1" t="str">
        <f aca="false">IF(A249,Dates!H249&amp;IF(C249,Settings!$B$2,""),"")</f>
        <v/>
      </c>
      <c r="M249" s="1" t="str">
        <f aca="false">IF(A249,IF(Schedule!I249="","",IF(ISNUMBER(Schedule!I249),IF(Schedule!I249&lt;10,Settings!$B$6&amp;TEXT(Schedule!I249,"#"),Schedule!I249),Schedule!I249)),"")</f>
        <v/>
      </c>
      <c r="N249" s="1" t="str">
        <f aca="false">IF(A249,IF(Schedule!J249="","",Schedule!J249),"")</f>
        <v/>
      </c>
      <c r="O249" s="1" t="str">
        <f aca="false">IF(A249,IF(AND(Settings!$B$14="longtable",NOT(D249)),Settings!$B$15,Settings!$B$3),"")</f>
        <v/>
      </c>
      <c r="P249" s="1" t="str">
        <f aca="false">IF(D249,Settings!$B$4,"")</f>
        <v/>
      </c>
    </row>
    <row r="250" customFormat="false" ht="15" hidden="false" customHeight="false" outlineLevel="0" collapsed="false">
      <c r="A250" s="46" t="b">
        <f aca="false">AND(Dates!F250&lt;&gt;"",ROW()&lt;=Settings!$B$13)</f>
        <v>0</v>
      </c>
      <c r="B250" s="1" t="str">
        <f aca="false">IF(NOT(A250),"",IF(Dates!D250&lt;&gt;"",Dates!D250,IF(ROW()=2,"",B249)))</f>
        <v/>
      </c>
      <c r="C250" s="46" t="b">
        <f aca="false">AND(A250,OR(ROW()=2,B250&lt;&gt;B249))</f>
        <v>0</v>
      </c>
      <c r="D250" s="46" t="b">
        <f aca="false">AND(A250,OR(NOT(A251),B251&lt;&gt;B250))</f>
        <v>0</v>
      </c>
      <c r="E250" s="1" t="n">
        <f aca="false">IF(A250,COUNTIF($B$2:$B$261,B250),0)</f>
        <v>0</v>
      </c>
      <c r="F250" s="1" t="str">
        <f aca="false">IF(A250,Dates!J250,"")</f>
        <v/>
      </c>
      <c r="G250" s="46" t="b">
        <f aca="false">AND(A250,OR(C250,F250&lt;&gt;F249))</f>
        <v>0</v>
      </c>
      <c r="H250" s="1" t="n">
        <f aca="false">IF(A250,COUNTIFS($B$2:$B$261,B250,$F$2:$F$261,F250),0)</f>
        <v>0</v>
      </c>
      <c r="I250" s="1" t="str">
        <f aca="false">IF(C250,"\multirow{"&amp;E250&amp;"}{*}{"&amp;B250&amp;"}","")</f>
        <v/>
      </c>
      <c r="J250" s="1" t="str">
        <f aca="false">IF(G250,IF(H250=1,F250,"\multirow{"&amp;H250&amp;"}{*}{"&amp;F250&amp;"}"),"")</f>
        <v/>
      </c>
      <c r="K250" s="1" t="str">
        <f aca="false">IF(A250,TEXT(Dates!K250,"00"),"")</f>
        <v/>
      </c>
      <c r="L250" s="1" t="str">
        <f aca="false">IF(A250,Dates!H250&amp;IF(C250,Settings!$B$2,""),"")</f>
        <v/>
      </c>
      <c r="M250" s="1" t="str">
        <f aca="false">IF(A250,IF(Schedule!I250="","",IF(ISNUMBER(Schedule!I250),IF(Schedule!I250&lt;10,Settings!$B$6&amp;TEXT(Schedule!I250,"#"),Schedule!I250),Schedule!I250)),"")</f>
        <v/>
      </c>
      <c r="N250" s="1" t="str">
        <f aca="false">IF(A250,IF(Schedule!J250="","",Schedule!J250),"")</f>
        <v/>
      </c>
      <c r="O250" s="1" t="str">
        <f aca="false">IF(A250,IF(AND(Settings!$B$14="longtable",NOT(D250)),Settings!$B$15,Settings!$B$3),"")</f>
        <v/>
      </c>
      <c r="P250" s="1" t="str">
        <f aca="false">IF(D250,Settings!$B$4,"")</f>
        <v/>
      </c>
    </row>
    <row r="251" customFormat="false" ht="15" hidden="false" customHeight="false" outlineLevel="0" collapsed="false">
      <c r="A251" s="46" t="b">
        <f aca="false">AND(Dates!F251&lt;&gt;"",ROW()&lt;=Settings!$B$13)</f>
        <v>0</v>
      </c>
      <c r="B251" s="1" t="str">
        <f aca="false">IF(NOT(A251),"",IF(Dates!D251&lt;&gt;"",Dates!D251,IF(ROW()=2,"",B250)))</f>
        <v/>
      </c>
      <c r="C251" s="46" t="b">
        <f aca="false">AND(A251,OR(ROW()=2,B251&lt;&gt;B250))</f>
        <v>0</v>
      </c>
      <c r="D251" s="46" t="b">
        <f aca="false">AND(A251,OR(NOT(A252),B252&lt;&gt;B251))</f>
        <v>0</v>
      </c>
      <c r="E251" s="1" t="n">
        <f aca="false">IF(A251,COUNTIF($B$2:$B$261,B251),0)</f>
        <v>0</v>
      </c>
      <c r="F251" s="1" t="str">
        <f aca="false">IF(A251,Dates!J251,"")</f>
        <v/>
      </c>
      <c r="G251" s="46" t="b">
        <f aca="false">AND(A251,OR(C251,F251&lt;&gt;F250))</f>
        <v>0</v>
      </c>
      <c r="H251" s="1" t="n">
        <f aca="false">IF(A251,COUNTIFS($B$2:$B$261,B251,$F$2:$F$261,F251),0)</f>
        <v>0</v>
      </c>
      <c r="I251" s="1" t="str">
        <f aca="false">IF(C251,"\multirow{"&amp;E251&amp;"}{*}{"&amp;B251&amp;"}","")</f>
        <v/>
      </c>
      <c r="J251" s="1" t="str">
        <f aca="false">IF(G251,IF(H251=1,F251,"\multirow{"&amp;H251&amp;"}{*}{"&amp;F251&amp;"}"),"")</f>
        <v/>
      </c>
      <c r="K251" s="1" t="str">
        <f aca="false">IF(A251,TEXT(Dates!K251,"00"),"")</f>
        <v/>
      </c>
      <c r="L251" s="1" t="str">
        <f aca="false">IF(A251,Dates!H251&amp;IF(C251,Settings!$B$2,""),"")</f>
        <v/>
      </c>
      <c r="M251" s="1" t="str">
        <f aca="false">IF(A251,IF(Schedule!I251="","",IF(ISNUMBER(Schedule!I251),IF(Schedule!I251&lt;10,Settings!$B$6&amp;TEXT(Schedule!I251,"#"),Schedule!I251),Schedule!I251)),"")</f>
        <v/>
      </c>
      <c r="N251" s="1" t="str">
        <f aca="false">IF(A251,IF(Schedule!J251="","",Schedule!J251),"")</f>
        <v/>
      </c>
      <c r="O251" s="1" t="str">
        <f aca="false">IF(A251,IF(AND(Settings!$B$14="longtable",NOT(D251)),Settings!$B$15,Settings!$B$3),"")</f>
        <v/>
      </c>
      <c r="P251" s="1" t="str">
        <f aca="false">IF(D251,Settings!$B$4,"")</f>
        <v/>
      </c>
    </row>
    <row r="252" customFormat="false" ht="15" hidden="false" customHeight="false" outlineLevel="0" collapsed="false">
      <c r="A252" s="46" t="b">
        <f aca="false">AND(Dates!F252&lt;&gt;"",ROW()&lt;=Settings!$B$13)</f>
        <v>0</v>
      </c>
      <c r="B252" s="1" t="str">
        <f aca="false">IF(NOT(A252),"",IF(Dates!D252&lt;&gt;"",Dates!D252,IF(ROW()=2,"",B251)))</f>
        <v/>
      </c>
      <c r="C252" s="46" t="b">
        <f aca="false">AND(A252,OR(ROW()=2,B252&lt;&gt;B251))</f>
        <v>0</v>
      </c>
      <c r="D252" s="46" t="b">
        <f aca="false">AND(A252,OR(NOT(A253),B253&lt;&gt;B252))</f>
        <v>0</v>
      </c>
      <c r="E252" s="1" t="n">
        <f aca="false">IF(A252,COUNTIF($B$2:$B$261,B252),0)</f>
        <v>0</v>
      </c>
      <c r="F252" s="1" t="str">
        <f aca="false">IF(A252,Dates!J252,"")</f>
        <v/>
      </c>
      <c r="G252" s="46" t="b">
        <f aca="false">AND(A252,OR(C252,F252&lt;&gt;F251))</f>
        <v>0</v>
      </c>
      <c r="H252" s="1" t="n">
        <f aca="false">IF(A252,COUNTIFS($B$2:$B$261,B252,$F$2:$F$261,F252),0)</f>
        <v>0</v>
      </c>
      <c r="I252" s="1" t="str">
        <f aca="false">IF(C252,"\multirow{"&amp;E252&amp;"}{*}{"&amp;B252&amp;"}","")</f>
        <v/>
      </c>
      <c r="J252" s="1" t="str">
        <f aca="false">IF(G252,IF(H252=1,F252,"\multirow{"&amp;H252&amp;"}{*}{"&amp;F252&amp;"}"),"")</f>
        <v/>
      </c>
      <c r="K252" s="1" t="str">
        <f aca="false">IF(A252,TEXT(Dates!K252,"00"),"")</f>
        <v/>
      </c>
      <c r="L252" s="1" t="str">
        <f aca="false">IF(A252,Dates!H252&amp;IF(C252,Settings!$B$2,""),"")</f>
        <v/>
      </c>
      <c r="M252" s="1" t="str">
        <f aca="false">IF(A252,IF(Schedule!I252="","",IF(ISNUMBER(Schedule!I252),IF(Schedule!I252&lt;10,Settings!$B$6&amp;TEXT(Schedule!I252,"#"),Schedule!I252),Schedule!I252)),"")</f>
        <v/>
      </c>
      <c r="N252" s="1" t="str">
        <f aca="false">IF(A252,IF(Schedule!J252="","",Schedule!J252),"")</f>
        <v/>
      </c>
      <c r="O252" s="1" t="str">
        <f aca="false">IF(A252,IF(AND(Settings!$B$14="longtable",NOT(D252)),Settings!$B$15,Settings!$B$3),"")</f>
        <v/>
      </c>
      <c r="P252" s="1" t="str">
        <f aca="false">IF(D252,Settings!$B$4,"")</f>
        <v/>
      </c>
    </row>
    <row r="253" customFormat="false" ht="15" hidden="false" customHeight="false" outlineLevel="0" collapsed="false">
      <c r="A253" s="46" t="b">
        <f aca="false">AND(Dates!F253&lt;&gt;"",ROW()&lt;=Settings!$B$13)</f>
        <v>0</v>
      </c>
      <c r="B253" s="1" t="str">
        <f aca="false">IF(NOT(A253),"",IF(Dates!D253&lt;&gt;"",Dates!D253,IF(ROW()=2,"",B252)))</f>
        <v/>
      </c>
      <c r="C253" s="46" t="b">
        <f aca="false">AND(A253,OR(ROW()=2,B253&lt;&gt;B252))</f>
        <v>0</v>
      </c>
      <c r="D253" s="46" t="b">
        <f aca="false">AND(A253,OR(NOT(A254),B254&lt;&gt;B253))</f>
        <v>0</v>
      </c>
      <c r="E253" s="1" t="n">
        <f aca="false">IF(A253,COUNTIF($B$2:$B$261,B253),0)</f>
        <v>0</v>
      </c>
      <c r="F253" s="1" t="str">
        <f aca="false">IF(A253,Dates!J253,"")</f>
        <v/>
      </c>
      <c r="G253" s="46" t="b">
        <f aca="false">AND(A253,OR(C253,F253&lt;&gt;F252))</f>
        <v>0</v>
      </c>
      <c r="H253" s="1" t="n">
        <f aca="false">IF(A253,COUNTIFS($B$2:$B$261,B253,$F$2:$F$261,F253),0)</f>
        <v>0</v>
      </c>
      <c r="I253" s="1" t="str">
        <f aca="false">IF(C253,"\multirow{"&amp;E253&amp;"}{*}{"&amp;B253&amp;"}","")</f>
        <v/>
      </c>
      <c r="J253" s="1" t="str">
        <f aca="false">IF(G253,IF(H253=1,F253,"\multirow{"&amp;H253&amp;"}{*}{"&amp;F253&amp;"}"),"")</f>
        <v/>
      </c>
      <c r="K253" s="1" t="str">
        <f aca="false">IF(A253,TEXT(Dates!K253,"00"),"")</f>
        <v/>
      </c>
      <c r="L253" s="1" t="str">
        <f aca="false">IF(A253,Dates!H253&amp;IF(C253,Settings!$B$2,""),"")</f>
        <v/>
      </c>
      <c r="M253" s="1" t="str">
        <f aca="false">IF(A253,IF(Schedule!I253="","",IF(ISNUMBER(Schedule!I253),IF(Schedule!I253&lt;10,Settings!$B$6&amp;TEXT(Schedule!I253,"#"),Schedule!I253),Schedule!I253)),"")</f>
        <v/>
      </c>
      <c r="N253" s="1" t="str">
        <f aca="false">IF(A253,IF(Schedule!J253="","",Schedule!J253),"")</f>
        <v/>
      </c>
      <c r="O253" s="1" t="str">
        <f aca="false">IF(A253,IF(AND(Settings!$B$14="longtable",NOT(D253)),Settings!$B$15,Settings!$B$3),"")</f>
        <v/>
      </c>
      <c r="P253" s="1" t="str">
        <f aca="false">IF(D253,Settings!$B$4,"")</f>
        <v/>
      </c>
    </row>
    <row r="254" customFormat="false" ht="15" hidden="false" customHeight="false" outlineLevel="0" collapsed="false">
      <c r="A254" s="46" t="b">
        <f aca="false">AND(Dates!F254&lt;&gt;"",ROW()&lt;=Settings!$B$13)</f>
        <v>0</v>
      </c>
      <c r="B254" s="1" t="str">
        <f aca="false">IF(NOT(A254),"",IF(Dates!D254&lt;&gt;"",Dates!D254,IF(ROW()=2,"",B253)))</f>
        <v/>
      </c>
      <c r="C254" s="46" t="b">
        <f aca="false">AND(A254,OR(ROW()=2,B254&lt;&gt;B253))</f>
        <v>0</v>
      </c>
      <c r="D254" s="46" t="b">
        <f aca="false">AND(A254,OR(NOT(A255),B255&lt;&gt;B254))</f>
        <v>0</v>
      </c>
      <c r="E254" s="1" t="n">
        <f aca="false">IF(A254,COUNTIF($B$2:$B$261,B254),0)</f>
        <v>0</v>
      </c>
      <c r="F254" s="1" t="str">
        <f aca="false">IF(A254,Dates!J254,"")</f>
        <v/>
      </c>
      <c r="G254" s="46" t="b">
        <f aca="false">AND(A254,OR(C254,F254&lt;&gt;F253))</f>
        <v>0</v>
      </c>
      <c r="H254" s="1" t="n">
        <f aca="false">IF(A254,COUNTIFS($B$2:$B$261,B254,$F$2:$F$261,F254),0)</f>
        <v>0</v>
      </c>
      <c r="I254" s="1" t="str">
        <f aca="false">IF(C254,"\multirow{"&amp;E254&amp;"}{*}{"&amp;B254&amp;"}","")</f>
        <v/>
      </c>
      <c r="J254" s="1" t="str">
        <f aca="false">IF(G254,IF(H254=1,F254,"\multirow{"&amp;H254&amp;"}{*}{"&amp;F254&amp;"}"),"")</f>
        <v/>
      </c>
      <c r="K254" s="1" t="str">
        <f aca="false">IF(A254,TEXT(Dates!K254,"00"),"")</f>
        <v/>
      </c>
      <c r="L254" s="1" t="str">
        <f aca="false">IF(A254,Dates!H254&amp;IF(C254,Settings!$B$2,""),"")</f>
        <v/>
      </c>
      <c r="M254" s="1" t="str">
        <f aca="false">IF(A254,IF(Schedule!I254="","",IF(ISNUMBER(Schedule!I254),IF(Schedule!I254&lt;10,Settings!$B$6&amp;TEXT(Schedule!I254,"#"),Schedule!I254),Schedule!I254)),"")</f>
        <v/>
      </c>
      <c r="N254" s="1" t="str">
        <f aca="false">IF(A254,IF(Schedule!J254="","",Schedule!J254),"")</f>
        <v/>
      </c>
      <c r="O254" s="1" t="str">
        <f aca="false">IF(A254,IF(AND(Settings!$B$14="longtable",NOT(D254)),Settings!$B$15,Settings!$B$3),"")</f>
        <v/>
      </c>
      <c r="P254" s="1" t="str">
        <f aca="false">IF(D254,Settings!$B$4,"")</f>
        <v/>
      </c>
    </row>
    <row r="255" customFormat="false" ht="15" hidden="false" customHeight="false" outlineLevel="0" collapsed="false">
      <c r="A255" s="46" t="b">
        <f aca="false">AND(Dates!F255&lt;&gt;"",ROW()&lt;=Settings!$B$13)</f>
        <v>0</v>
      </c>
      <c r="B255" s="1" t="str">
        <f aca="false">IF(NOT(A255),"",IF(Dates!D255&lt;&gt;"",Dates!D255,IF(ROW()=2,"",B254)))</f>
        <v/>
      </c>
      <c r="C255" s="46" t="b">
        <f aca="false">AND(A255,OR(ROW()=2,B255&lt;&gt;B254))</f>
        <v>0</v>
      </c>
      <c r="D255" s="46" t="b">
        <f aca="false">AND(A255,OR(NOT(A256),B256&lt;&gt;B255))</f>
        <v>0</v>
      </c>
      <c r="E255" s="1" t="n">
        <f aca="false">IF(A255,COUNTIF($B$2:$B$261,B255),0)</f>
        <v>0</v>
      </c>
      <c r="F255" s="1" t="str">
        <f aca="false">IF(A255,Dates!J255,"")</f>
        <v/>
      </c>
      <c r="G255" s="46" t="b">
        <f aca="false">AND(A255,OR(C255,F255&lt;&gt;F254))</f>
        <v>0</v>
      </c>
      <c r="H255" s="1" t="n">
        <f aca="false">IF(A255,COUNTIFS($B$2:$B$261,B255,$F$2:$F$261,F255),0)</f>
        <v>0</v>
      </c>
      <c r="I255" s="1" t="str">
        <f aca="false">IF(C255,"\multirow{"&amp;E255&amp;"}{*}{"&amp;B255&amp;"}","")</f>
        <v/>
      </c>
      <c r="J255" s="1" t="str">
        <f aca="false">IF(G255,IF(H255=1,F255,"\multirow{"&amp;H255&amp;"}{*}{"&amp;F255&amp;"}"),"")</f>
        <v/>
      </c>
      <c r="K255" s="1" t="str">
        <f aca="false">IF(A255,TEXT(Dates!K255,"00"),"")</f>
        <v/>
      </c>
      <c r="L255" s="1" t="str">
        <f aca="false">IF(A255,Dates!H255&amp;IF(C255,Settings!$B$2,""),"")</f>
        <v/>
      </c>
      <c r="M255" s="1" t="str">
        <f aca="false">IF(A255,IF(Schedule!I255="","",IF(ISNUMBER(Schedule!I255),IF(Schedule!I255&lt;10,Settings!$B$6&amp;TEXT(Schedule!I255,"#"),Schedule!I255),Schedule!I255)),"")</f>
        <v/>
      </c>
      <c r="N255" s="1" t="str">
        <f aca="false">IF(A255,IF(Schedule!J255="","",Schedule!J255),"")</f>
        <v/>
      </c>
      <c r="O255" s="1" t="str">
        <f aca="false">IF(A255,IF(AND(Settings!$B$14="longtable",NOT(D255)),Settings!$B$15,Settings!$B$3),"")</f>
        <v/>
      </c>
      <c r="P255" s="1" t="str">
        <f aca="false">IF(D255,Settings!$B$4,"")</f>
        <v/>
      </c>
    </row>
    <row r="256" customFormat="false" ht="15" hidden="false" customHeight="false" outlineLevel="0" collapsed="false">
      <c r="A256" s="46" t="b">
        <f aca="false">AND(Dates!F256&lt;&gt;"",ROW()&lt;=Settings!$B$13)</f>
        <v>0</v>
      </c>
      <c r="B256" s="1" t="str">
        <f aca="false">IF(NOT(A256),"",IF(Dates!D256&lt;&gt;"",Dates!D256,IF(ROW()=2,"",B255)))</f>
        <v/>
      </c>
      <c r="C256" s="46" t="b">
        <f aca="false">AND(A256,OR(ROW()=2,B256&lt;&gt;B255))</f>
        <v>0</v>
      </c>
      <c r="D256" s="46" t="b">
        <f aca="false">AND(A256,OR(NOT(A257),B257&lt;&gt;B256))</f>
        <v>0</v>
      </c>
      <c r="E256" s="1" t="n">
        <f aca="false">IF(A256,COUNTIF($B$2:$B$261,B256),0)</f>
        <v>0</v>
      </c>
      <c r="F256" s="1" t="str">
        <f aca="false">IF(A256,Dates!J256,"")</f>
        <v/>
      </c>
      <c r="G256" s="46" t="b">
        <f aca="false">AND(A256,OR(C256,F256&lt;&gt;F255))</f>
        <v>0</v>
      </c>
      <c r="H256" s="1" t="n">
        <f aca="false">IF(A256,COUNTIFS($B$2:$B$261,B256,$F$2:$F$261,F256),0)</f>
        <v>0</v>
      </c>
      <c r="I256" s="1" t="str">
        <f aca="false">IF(C256,"\multirow{"&amp;E256&amp;"}{*}{"&amp;B256&amp;"}","")</f>
        <v/>
      </c>
      <c r="J256" s="1" t="str">
        <f aca="false">IF(G256,IF(H256=1,F256,"\multirow{"&amp;H256&amp;"}{*}{"&amp;F256&amp;"}"),"")</f>
        <v/>
      </c>
      <c r="K256" s="1" t="str">
        <f aca="false">IF(A256,TEXT(Dates!K256,"00"),"")</f>
        <v/>
      </c>
      <c r="L256" s="1" t="str">
        <f aca="false">IF(A256,Dates!H256&amp;IF(C256,Settings!$B$2,""),"")</f>
        <v/>
      </c>
      <c r="M256" s="1" t="str">
        <f aca="false">IF(A256,IF(Schedule!I256="","",IF(ISNUMBER(Schedule!I256),IF(Schedule!I256&lt;10,Settings!$B$6&amp;TEXT(Schedule!I256,"#"),Schedule!I256),Schedule!I256)),"")</f>
        <v/>
      </c>
      <c r="N256" s="1" t="str">
        <f aca="false">IF(A256,IF(Schedule!J256="","",Schedule!J256),"")</f>
        <v/>
      </c>
      <c r="O256" s="1" t="str">
        <f aca="false">IF(A256,IF(AND(Settings!$B$14="longtable",NOT(D256)),Settings!$B$15,Settings!$B$3),"")</f>
        <v/>
      </c>
      <c r="P256" s="1" t="str">
        <f aca="false">IF(D256,Settings!$B$4,"")</f>
        <v/>
      </c>
    </row>
    <row r="257" customFormat="false" ht="15" hidden="false" customHeight="false" outlineLevel="0" collapsed="false">
      <c r="A257" s="46" t="b">
        <f aca="false">AND(Dates!F257&lt;&gt;"",ROW()&lt;=Settings!$B$13)</f>
        <v>0</v>
      </c>
      <c r="B257" s="1" t="str">
        <f aca="false">IF(NOT(A257),"",IF(Dates!D257&lt;&gt;"",Dates!D257,IF(ROW()=2,"",B256)))</f>
        <v/>
      </c>
      <c r="C257" s="46" t="b">
        <f aca="false">AND(A257,OR(ROW()=2,B257&lt;&gt;B256))</f>
        <v>0</v>
      </c>
      <c r="D257" s="46" t="b">
        <f aca="false">AND(A257,OR(NOT(A258),B258&lt;&gt;B257))</f>
        <v>0</v>
      </c>
      <c r="E257" s="1" t="n">
        <f aca="false">IF(A257,COUNTIF($B$2:$B$261,B257),0)</f>
        <v>0</v>
      </c>
      <c r="F257" s="1" t="str">
        <f aca="false">IF(A257,Dates!J257,"")</f>
        <v/>
      </c>
      <c r="G257" s="46" t="b">
        <f aca="false">AND(A257,OR(C257,F257&lt;&gt;F256))</f>
        <v>0</v>
      </c>
      <c r="H257" s="1" t="n">
        <f aca="false">IF(A257,COUNTIFS($B$2:$B$261,B257,$F$2:$F$261,F257),0)</f>
        <v>0</v>
      </c>
      <c r="I257" s="1" t="str">
        <f aca="false">IF(C257,"\multirow{"&amp;E257&amp;"}{*}{"&amp;B257&amp;"}","")</f>
        <v/>
      </c>
      <c r="J257" s="1" t="str">
        <f aca="false">IF(G257,IF(H257=1,F257,"\multirow{"&amp;H257&amp;"}{*}{"&amp;F257&amp;"}"),"")</f>
        <v/>
      </c>
      <c r="K257" s="1" t="str">
        <f aca="false">IF(A257,TEXT(Dates!K257,"00"),"")</f>
        <v/>
      </c>
      <c r="L257" s="1" t="str">
        <f aca="false">IF(A257,Dates!H257&amp;IF(C257,Settings!$B$2,""),"")</f>
        <v/>
      </c>
      <c r="M257" s="1" t="str">
        <f aca="false">IF(A257,IF(Schedule!I257="","",IF(ISNUMBER(Schedule!I257),IF(Schedule!I257&lt;10,Settings!$B$6&amp;TEXT(Schedule!I257,"#"),Schedule!I257),Schedule!I257)),"")</f>
        <v/>
      </c>
      <c r="N257" s="1" t="str">
        <f aca="false">IF(A257,IF(Schedule!J257="","",Schedule!J257),"")</f>
        <v/>
      </c>
      <c r="O257" s="1" t="str">
        <f aca="false">IF(A257,IF(AND(Settings!$B$14="longtable",NOT(D257)),Settings!$B$15,Settings!$B$3),"")</f>
        <v/>
      </c>
      <c r="P257" s="1" t="str">
        <f aca="false">IF(D257,Settings!$B$4,"")</f>
        <v/>
      </c>
    </row>
    <row r="258" customFormat="false" ht="15" hidden="false" customHeight="false" outlineLevel="0" collapsed="false">
      <c r="A258" s="46" t="b">
        <f aca="false">AND(Dates!F258&lt;&gt;"",ROW()&lt;=Settings!$B$13)</f>
        <v>0</v>
      </c>
      <c r="B258" s="1" t="str">
        <f aca="false">IF(NOT(A258),"",IF(Dates!D258&lt;&gt;"",Dates!D258,IF(ROW()=2,"",B257)))</f>
        <v/>
      </c>
      <c r="C258" s="46" t="b">
        <f aca="false">AND(A258,OR(ROW()=2,B258&lt;&gt;B257))</f>
        <v>0</v>
      </c>
      <c r="D258" s="46" t="b">
        <f aca="false">AND(A258,OR(NOT(A259),B259&lt;&gt;B258))</f>
        <v>0</v>
      </c>
      <c r="E258" s="1" t="n">
        <f aca="false">IF(A258,COUNTIF($B$2:$B$261,B258),0)</f>
        <v>0</v>
      </c>
      <c r="F258" s="1" t="str">
        <f aca="false">IF(A258,Dates!J258,"")</f>
        <v/>
      </c>
      <c r="G258" s="46" t="b">
        <f aca="false">AND(A258,OR(C258,F258&lt;&gt;F257))</f>
        <v>0</v>
      </c>
      <c r="H258" s="1" t="n">
        <f aca="false">IF(A258,COUNTIFS($B$2:$B$261,B258,$F$2:$F$261,F258),0)</f>
        <v>0</v>
      </c>
      <c r="I258" s="1" t="str">
        <f aca="false">IF(C258,"\multirow{"&amp;E258&amp;"}{*}{"&amp;B258&amp;"}","")</f>
        <v/>
      </c>
      <c r="J258" s="1" t="str">
        <f aca="false">IF(G258,IF(H258=1,F258,"\multirow{"&amp;H258&amp;"}{*}{"&amp;F258&amp;"}"),"")</f>
        <v/>
      </c>
      <c r="K258" s="1" t="str">
        <f aca="false">IF(A258,TEXT(Dates!K258,"00"),"")</f>
        <v/>
      </c>
      <c r="L258" s="1" t="str">
        <f aca="false">IF(A258,Dates!H258&amp;IF(C258,Settings!$B$2,""),"")</f>
        <v/>
      </c>
      <c r="M258" s="1" t="str">
        <f aca="false">IF(A258,IF(Schedule!I258="","",IF(ISNUMBER(Schedule!I258),IF(Schedule!I258&lt;10,Settings!$B$6&amp;TEXT(Schedule!I258,"#"),Schedule!I258),Schedule!I258)),"")</f>
        <v/>
      </c>
      <c r="N258" s="1" t="str">
        <f aca="false">IF(A258,IF(Schedule!J258="","",Schedule!J258),"")</f>
        <v/>
      </c>
      <c r="O258" s="1" t="str">
        <f aca="false">IF(A258,IF(AND(Settings!$B$14="longtable",NOT(D258)),Settings!$B$15,Settings!$B$3),"")</f>
        <v/>
      </c>
      <c r="P258" s="1" t="str">
        <f aca="false">IF(D258,Settings!$B$4,"")</f>
        <v/>
      </c>
    </row>
    <row r="259" customFormat="false" ht="15" hidden="false" customHeight="false" outlineLevel="0" collapsed="false">
      <c r="A259" s="46" t="b">
        <f aca="false">AND(Dates!F259&lt;&gt;"",ROW()&lt;=Settings!$B$13)</f>
        <v>0</v>
      </c>
      <c r="B259" s="1" t="str">
        <f aca="false">IF(NOT(A259),"",IF(Dates!D259&lt;&gt;"",Dates!D259,IF(ROW()=2,"",B258)))</f>
        <v/>
      </c>
      <c r="C259" s="46" t="b">
        <f aca="false">AND(A259,OR(ROW()=2,B259&lt;&gt;B258))</f>
        <v>0</v>
      </c>
      <c r="D259" s="46" t="b">
        <f aca="false">AND(A259,OR(NOT(A260),B260&lt;&gt;B259))</f>
        <v>0</v>
      </c>
      <c r="E259" s="1" t="n">
        <f aca="false">IF(A259,COUNTIF($B$2:$B$261,B259),0)</f>
        <v>0</v>
      </c>
      <c r="F259" s="1" t="str">
        <f aca="false">IF(A259,Dates!J259,"")</f>
        <v/>
      </c>
      <c r="G259" s="46" t="b">
        <f aca="false">AND(A259,OR(C259,F259&lt;&gt;F258))</f>
        <v>0</v>
      </c>
      <c r="H259" s="1" t="n">
        <f aca="false">IF(A259,COUNTIFS($B$2:$B$261,B259,$F$2:$F$261,F259),0)</f>
        <v>0</v>
      </c>
      <c r="I259" s="1" t="str">
        <f aca="false">IF(C259,"\multirow{"&amp;E259&amp;"}{*}{"&amp;B259&amp;"}","")</f>
        <v/>
      </c>
      <c r="J259" s="1" t="str">
        <f aca="false">IF(G259,IF(H259=1,F259,"\multirow{"&amp;H259&amp;"}{*}{"&amp;F259&amp;"}"),"")</f>
        <v/>
      </c>
      <c r="K259" s="1" t="str">
        <f aca="false">IF(A259,TEXT(Dates!K259,"00"),"")</f>
        <v/>
      </c>
      <c r="L259" s="1" t="str">
        <f aca="false">IF(A259,Dates!H259&amp;IF(C259,Settings!$B$2,""),"")</f>
        <v/>
      </c>
      <c r="M259" s="1" t="str">
        <f aca="false">IF(A259,IF(Schedule!I259="","",IF(ISNUMBER(Schedule!I259),IF(Schedule!I259&lt;10,Settings!$B$6&amp;TEXT(Schedule!I259,"#"),Schedule!I259),Schedule!I259)),"")</f>
        <v/>
      </c>
      <c r="N259" s="1" t="str">
        <f aca="false">IF(A259,IF(Schedule!J259="","",Schedule!J259),"")</f>
        <v/>
      </c>
      <c r="O259" s="1" t="str">
        <f aca="false">IF(A259,IF(AND(Settings!$B$14="longtable",NOT(D259)),Settings!$B$15,Settings!$B$3),"")</f>
        <v/>
      </c>
      <c r="P259" s="1" t="str">
        <f aca="false">IF(D259,Settings!$B$4,"")</f>
        <v/>
      </c>
    </row>
    <row r="260" customFormat="false" ht="15" hidden="false" customHeight="false" outlineLevel="0" collapsed="false">
      <c r="A260" s="46" t="b">
        <f aca="false">AND(Dates!F260&lt;&gt;"",ROW()&lt;=Settings!$B$13)</f>
        <v>0</v>
      </c>
      <c r="B260" s="1" t="str">
        <f aca="false">IF(NOT(A260),"",IF(Dates!D260&lt;&gt;"",Dates!D260,IF(ROW()=2,"",B259)))</f>
        <v/>
      </c>
      <c r="C260" s="46" t="b">
        <f aca="false">AND(A260,OR(ROW()=2,B260&lt;&gt;B259))</f>
        <v>0</v>
      </c>
      <c r="D260" s="46" t="b">
        <f aca="false">AND(A260,OR(NOT(A261),B261&lt;&gt;B260))</f>
        <v>0</v>
      </c>
      <c r="E260" s="1" t="n">
        <f aca="false">IF(A260,COUNTIF($B$2:$B$261,B260),0)</f>
        <v>0</v>
      </c>
      <c r="F260" s="1" t="str">
        <f aca="false">IF(A260,Dates!J260,"")</f>
        <v/>
      </c>
      <c r="G260" s="46" t="b">
        <f aca="false">AND(A260,OR(C260,F260&lt;&gt;F259))</f>
        <v>0</v>
      </c>
      <c r="H260" s="1" t="n">
        <f aca="false">IF(A260,COUNTIFS($B$2:$B$261,B260,$F$2:$F$261,F260),0)</f>
        <v>0</v>
      </c>
      <c r="I260" s="1" t="str">
        <f aca="false">IF(C260,"\multirow{"&amp;E260&amp;"}{*}{"&amp;B260&amp;"}","")</f>
        <v/>
      </c>
      <c r="J260" s="1" t="str">
        <f aca="false">IF(G260,IF(H260=1,F260,"\multirow{"&amp;H260&amp;"}{*}{"&amp;F260&amp;"}"),"")</f>
        <v/>
      </c>
      <c r="K260" s="1" t="str">
        <f aca="false">IF(A260,TEXT(Dates!K260,"00"),"")</f>
        <v/>
      </c>
      <c r="L260" s="1" t="str">
        <f aca="false">IF(A260,Dates!H260&amp;IF(C260,Settings!$B$2,""),"")</f>
        <v/>
      </c>
      <c r="M260" s="1" t="str">
        <f aca="false">IF(A260,IF(Schedule!I260="","",IF(ISNUMBER(Schedule!I260),IF(Schedule!I260&lt;10,Settings!$B$6&amp;TEXT(Schedule!I260,"#"),Schedule!I260),Schedule!I260)),"")</f>
        <v/>
      </c>
      <c r="N260" s="1" t="str">
        <f aca="false">IF(A260,IF(Schedule!J260="","",Schedule!J260),"")</f>
        <v/>
      </c>
      <c r="O260" s="1" t="str">
        <f aca="false">IF(A260,IF(AND(Settings!$B$14="longtable",NOT(D260)),Settings!$B$15,Settings!$B$3),"")</f>
        <v/>
      </c>
      <c r="P260" s="1" t="str">
        <f aca="false">IF(D260,Settings!$B$4,"")</f>
        <v/>
      </c>
    </row>
    <row r="261" customFormat="false" ht="15" hidden="false" customHeight="false" outlineLevel="0" collapsed="false">
      <c r="A261" s="46" t="b">
        <f aca="false">AND(Dates!F261&lt;&gt;"",ROW()&lt;=Settings!$B$13)</f>
        <v>0</v>
      </c>
      <c r="B261" s="1" t="str">
        <f aca="false">IF(NOT(A261),"",IF(Dates!D261&lt;&gt;"",Dates!D261,IF(ROW()=2,"",B260)))</f>
        <v/>
      </c>
      <c r="C261" s="46" t="b">
        <f aca="false">AND(A261,OR(ROW()=2,B261&lt;&gt;B260))</f>
        <v>0</v>
      </c>
      <c r="D261" s="46" t="b">
        <f aca="false">AND(A261,OR(NOT(A262),B262&lt;&gt;B261))</f>
        <v>0</v>
      </c>
      <c r="E261" s="1" t="n">
        <f aca="false">IF(A261,COUNTIF($B$2:$B$261,B261),0)</f>
        <v>0</v>
      </c>
      <c r="F261" s="1" t="str">
        <f aca="false">IF(A261,Dates!J261,"")</f>
        <v/>
      </c>
      <c r="G261" s="46" t="b">
        <f aca="false">AND(A261,OR(C261,F261&lt;&gt;F260))</f>
        <v>0</v>
      </c>
      <c r="H261" s="1" t="n">
        <f aca="false">IF(A261,COUNTIFS($B$2:$B$261,B261,$F$2:$F$261,F261),0)</f>
        <v>0</v>
      </c>
      <c r="I261" s="1" t="str">
        <f aca="false">IF(C261,"\multirow{"&amp;E261&amp;"}{*}{"&amp;B261&amp;"}","")</f>
        <v/>
      </c>
      <c r="J261" s="1" t="str">
        <f aca="false">IF(G261,IF(H261=1,F261,"\multirow{"&amp;H261&amp;"}{*}{"&amp;F261&amp;"}"),"")</f>
        <v/>
      </c>
      <c r="K261" s="1" t="str">
        <f aca="false">IF(A261,TEXT(Dates!K261,"00"),"")</f>
        <v/>
      </c>
      <c r="L261" s="1" t="str">
        <f aca="false">IF(A261,Dates!H261&amp;IF(C261,Settings!$B$2,""),"")</f>
        <v/>
      </c>
      <c r="M261" s="1" t="str">
        <f aca="false">IF(A261,IF(Schedule!I261="","",IF(ISNUMBER(Schedule!I261),IF(Schedule!I261&lt;10,Settings!$B$6&amp;TEXT(Schedule!I261,"#"),Schedule!I261),Schedule!I261)),"")</f>
        <v/>
      </c>
      <c r="N261" s="1" t="str">
        <f aca="false">IF(A261,IF(Schedule!J261="","",Schedule!J261),"")</f>
        <v/>
      </c>
      <c r="O261" s="1" t="str">
        <f aca="false">IF(A261,IF(AND(Settings!$B$14="longtable",NOT(D261)),Settings!$B$15,Settings!$B$3),"")</f>
        <v/>
      </c>
      <c r="P261" s="1" t="str">
        <f aca="false">IF(D261,Settings!$B$4,"")</f>
        <v/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88"/>
    <col collapsed="false" customWidth="true" hidden="false" outlineLevel="0" max="3" min="2" style="1" width="15.63"/>
    <col collapsed="false" customWidth="true" hidden="false" outlineLevel="0" max="4" min="4" style="1" width="17.38"/>
  </cols>
  <sheetData>
    <row r="1" customFormat="false" ht="15" hidden="false" customHeight="false" outlineLevel="0" collapsed="false">
      <c r="A1" s="50" t="s">
        <v>100</v>
      </c>
      <c r="B1" s="50" t="s">
        <v>101</v>
      </c>
      <c r="C1" s="50" t="s">
        <v>102</v>
      </c>
      <c r="D1" s="50" t="s">
        <v>103</v>
      </c>
    </row>
    <row r="2" customFormat="false" ht="23.85" hidden="false" customHeight="false" outlineLevel="0" collapsed="false">
      <c r="A2" s="51" t="s">
        <v>104</v>
      </c>
      <c r="B2" s="51" t="str">
        <f aca="false">Schedule!M2</f>
        <v>\multirow{3}{*}{W01}</v>
      </c>
      <c r="C2" s="51" t="str">
        <f aca="false">"\multirow{"&amp;Calculations!E2&amp;"}{*}{"&amp;Calculations!B2&amp;"}"</f>
        <v>\multirow{3}{*}{W01}</v>
      </c>
      <c r="D2" s="51" t="b">
        <f aca="false">EXACT(B2,C2)</f>
        <v>1</v>
      </c>
    </row>
    <row r="3" customFormat="false" ht="23.85" hidden="false" customHeight="false" outlineLevel="0" collapsed="false">
      <c r="A3" s="51" t="s">
        <v>105</v>
      </c>
      <c r="B3" s="51" t="str">
        <f aca="false">Schedule!O2</f>
        <v>\multirow{3}{*}{Jan}</v>
      </c>
      <c r="C3" s="51" t="str">
        <f aca="false">IF(Calculations!H2=1,Calculations!F2,"\multirow{"&amp;Calculations!H2&amp;"}{*}{"&amp;Calculations!F2&amp;"}")</f>
        <v>\multirow{3}{*}{Jan}</v>
      </c>
      <c r="D3" s="51" t="b">
        <f aca="false">EXACT(B3,C3)</f>
        <v>1</v>
      </c>
    </row>
    <row r="4" customFormat="false" ht="23.85" hidden="false" customHeight="false" outlineLevel="0" collapsed="false">
      <c r="A4" s="51" t="s">
        <v>106</v>
      </c>
      <c r="B4" s="51" t="str">
        <f aca="false">INDEX(Calculations!$I:$I,MATCH(INDEX(Calculations!$B:$B,Settings!$B$13),Calculations!$B:$B,0))</f>
        <v>\multirow{2}{*}{W16}</v>
      </c>
      <c r="C4" s="51" t="str">
        <f aca="false">"\multirow{"&amp;COUNTIF(Calculations!$B$2:$B$261,INDEX(Calculations!$B:$B,Settings!$B$13))&amp;"}{*}{"&amp;INDEX(Calculations!$B:$B,Settings!$B$13)&amp;"}"</f>
        <v>\multirow{2}{*}{W16}</v>
      </c>
      <c r="D4" s="52" t="b">
        <f aca="false">EXACT(B4,C4)</f>
        <v>1</v>
      </c>
    </row>
    <row r="5" customFormat="false" ht="23.85" hidden="false" customHeight="false" outlineLevel="0" collapsed="false">
      <c r="A5" s="51" t="s">
        <v>107</v>
      </c>
      <c r="B5" s="51" t="str">
        <f aca="false">INDEX(Calculations!$J:$J,MATCH(INDEX(Calculations!$B:$B,Settings!$B$13),Calculations!$B:$B,0))</f>
        <v>\multirow{2}{*}{May}</v>
      </c>
      <c r="C5" s="51" t="str">
        <f aca="false">IF(COUNTIFS(Calculations!$B$2:$B$261,INDEX(Calculations!$B:$B,Settings!$B$13),Calculations!$F$2:$F$261,INDEX(Calculations!$F:$F,MATCH(INDEX(Calculations!$B:$B,Settings!$B$13),Calculations!$B:$B,0)))=1,INDEX(Calculations!$F:$F,MATCH(INDEX(Calculations!$B:$B,Settings!$B$13),Calculations!$B:$B,0)),"\multirow{"&amp;COUNTIFS(Calculations!$B$2:$B$261,INDEX(Calculations!$B:$B,Settings!$B$13),Calculations!$F$2:$F$261,INDEX(Calculations!$F:$F,MATCH(INDEX(Calculations!$B:$B,Settings!$B$13),Calculations!$B:$B,0)))&amp;"}{*}{"&amp;INDEX(Calculations!$F:$F,MATCH(INDEX(Calculations!$B:$B,Settings!$B$13),Calculations!$B:$B,0))&amp;"}")</f>
        <v>\multirow{2}{*}{May}</v>
      </c>
      <c r="D5" s="51" t="b">
        <f aca="false">EXACT(B5,C5)</f>
        <v>1</v>
      </c>
    </row>
    <row r="6" customFormat="false" ht="23.85" hidden="false" customHeight="false" outlineLevel="0" collapsed="false">
      <c r="A6" s="51" t="s">
        <v>108</v>
      </c>
      <c r="B6" s="51" t="str">
        <f aca="false">INDEX(Schedule!$Y:$Y,Settings!$B$13)</f>
        <v>\hline</v>
      </c>
      <c r="C6" s="51" t="str">
        <f aca="false">Settings!$B$4</f>
        <v>\hline</v>
      </c>
      <c r="D6" s="51" t="b">
        <f aca="false">EXACT(B6,C6)</f>
        <v>1</v>
      </c>
    </row>
    <row r="7" customFormat="false" ht="23.85" hidden="false" customHeight="false" outlineLevel="0" collapsed="false">
      <c r="A7" s="51" t="s">
        <v>109</v>
      </c>
      <c r="B7" s="51" t="b">
        <f aca="false">IF(Settings!$B$13&lt;261,INDEX(Calculations!$A:$A,Settings!$B$13+1),FALSE())</f>
        <v>0</v>
      </c>
      <c r="C7" s="51" t="b">
        <f aca="false">FALSE()</f>
        <v>0</v>
      </c>
      <c r="D7" s="51" t="b">
        <f aca="false">B7=C7</f>
        <v>1</v>
      </c>
    </row>
    <row r="8" customFormat="false" ht="15" hidden="false" customHeight="false" outlineLevel="0" collapsed="false">
      <c r="A8" s="51" t="s">
        <v>110</v>
      </c>
      <c r="B8" s="51" t="str">
        <f aca="false">Schedule!S2</f>
        <v>Mo\rule{0pt}{11pt}</v>
      </c>
      <c r="C8" s="51" t="str">
        <f aca="false">Dates!H2&amp;Settings!$B$2</f>
        <v>Mo\rule{0pt}{11pt}</v>
      </c>
      <c r="D8" s="51" t="b">
        <f aca="false">EXACT(B8,C8)</f>
        <v>1</v>
      </c>
    </row>
    <row r="9" customFormat="false" ht="15" hidden="false" customHeight="false" outlineLevel="0" collapsed="false">
      <c r="A9" s="51" t="s">
        <v>111</v>
      </c>
      <c r="B9" s="51" t="n">
        <f aca="false">Settings!$B$9</f>
        <v>47</v>
      </c>
      <c r="C9" s="51" t="n">
        <f aca="false">MAX(Settings!$B$13-1,0)</f>
        <v>47</v>
      </c>
      <c r="D9" s="51" t="b">
        <f aca="false">B9=C9</f>
        <v>1</v>
      </c>
    </row>
    <row r="10" customFormat="false" ht="23.85" hidden="false" customHeight="false" outlineLevel="0" collapsed="false">
      <c r="A10" s="51" t="s">
        <v>112</v>
      </c>
      <c r="B10" s="51" t="str">
        <f aca="false">IF(Settings!$B$13&lt;261,INDEX(Export!$B:$B,Settings!$B$13+4),"")</f>
        <v/>
      </c>
      <c r="C10" s="51"/>
      <c r="D10" s="51" t="b">
        <f aca="false">EXACT(B10,C10)</f>
        <v>1</v>
      </c>
    </row>
    <row r="11" customFormat="false" ht="15" hidden="false" customHeight="true" outlineLevel="0" collapsed="false">
      <c r="A11" s="53" t="s">
        <v>113</v>
      </c>
      <c r="B11" s="53" t="str">
        <f aca="false">Calculations!O2</f>
        <v>\\*</v>
      </c>
      <c r="C11" s="53" t="str">
        <f aca="false">IF(Settings!$B$14="longtable",Settings!$B$15,Settings!$B$3)</f>
        <v>\\*</v>
      </c>
      <c r="D11" s="51" t="b">
        <f aca="false">EXACT(B11,C11)</f>
        <v>1</v>
      </c>
    </row>
    <row r="12" customFormat="false" ht="15" hidden="false" customHeight="false" outlineLevel="0" collapsed="false">
      <c r="A12" s="1" t="s">
        <v>114</v>
      </c>
      <c r="B12" s="1" t="str">
        <f aca="false">INDEX(Calculations!$O:$O,1+Calculations!$E$2)</f>
        <v>\\</v>
      </c>
      <c r="C12" s="1" t="str">
        <f aca="false">Settings!$B$3</f>
        <v>\\</v>
      </c>
      <c r="D12" s="54" t="b">
        <f aca="false">EXACT(B12,C12)</f>
        <v>1</v>
      </c>
    </row>
    <row r="13" customFormat="false" ht="15" hidden="false" customHeight="false" outlineLevel="0" collapsed="false">
      <c r="A13" s="1" t="s">
        <v>115</v>
      </c>
      <c r="D13" s="1" t="str">
        <f aca="false">IF(AND(D2,D3,D4,D5,D6,D7,D8,D9,D10,D11,D12),"All LaTeX tests passed","LaTeX output mismatch")</f>
        <v>All LaTeX tests passed</v>
      </c>
    </row>
    <row r="19" customFormat="false" ht="15" hidden="false" customHeight="false" outlineLevel="0" collapsed="false">
      <c r="C19" s="55"/>
    </row>
    <row r="26" customFormat="false" ht="15" hidden="false" customHeight="false" outlineLevel="0" collapsed="false">
      <c r="K26" s="56"/>
    </row>
  </sheetData>
  <sheetProtection sheet="true" objects="true" scenarios="true"/>
  <mergeCells count="1">
    <mergeCell ref="A11:C11"/>
  </mergeCells>
  <conditionalFormatting sqref="D2:D12">
    <cfRule type="expression" priority="2" aboveAverage="0" equalAverage="0" bottom="0" percent="0" rank="0" text="" dxfId="0">
      <formula>D2=0</formula>
    </cfRule>
    <cfRule type="expression" priority="3" aboveAverage="0" equalAverage="0" bottom="0" percent="0" rank="0" text="" dxfId="1">
      <formula>D2=1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0"/>
  </cols>
  <sheetData>
    <row r="1" customFormat="false" ht="15" hidden="false" customHeight="false" outlineLevel="0" collapsed="false">
      <c r="A1" s="57" t="s">
        <v>116</v>
      </c>
      <c r="B1" s="57" t="s">
        <v>117</v>
      </c>
    </row>
    <row r="2" customFormat="false" ht="15" hidden="false" customHeight="false" outlineLevel="0" collapsed="false">
      <c r="A2" s="1" t="s">
        <v>118</v>
      </c>
    </row>
    <row r="3" customFormat="false" ht="90" hidden="false" customHeight="true" outlineLevel="0" collapsed="false">
      <c r="B3" s="32"/>
    </row>
    <row r="4" customFormat="false" ht="15" hidden="false" customHeight="false" outlineLevel="0" collapsed="false">
      <c r="B4" s="32"/>
    </row>
    <row r="5" customFormat="false" ht="15" hidden="false" customHeight="false" outlineLevel="0" collapsed="false">
      <c r="B5" s="58" t="str">
        <f aca="false">IF(Calculations!A2,Schedule!M2&amp;CHAR(9)&amp;Schedule!N2&amp;CHAR(9)&amp;Schedule!O2&amp;CHAR(9)&amp;Schedule!P2&amp;CHAR(9)&amp;Schedule!Q2&amp;CHAR(9)&amp;Schedule!R2&amp;CHAR(9)&amp;Schedule!S2&amp;CHAR(9)&amp;Schedule!T2&amp;CHAR(9)&amp;Schedule!U2&amp;CHAR(9)&amp;Schedule!V2&amp;CHAR(9)&amp;Schedule!W2&amp;CHAR(9)&amp;Schedule!X2&amp;CHAR(9)&amp;Schedule!Y2,"")</f>
        <v>\multirow{3}{*}{W01}	&amp;	\multirow{3}{*}{Jan}	&amp;	25	&amp;	Mo\rule{0pt}{11pt}	&amp;	16	&amp;	Temperature and Heat	\\*	</v>
      </c>
    </row>
    <row r="6" customFormat="false" ht="15" hidden="false" customHeight="false" outlineLevel="0" collapsed="false">
      <c r="B6" s="58" t="str">
        <f aca="false">IF(Calculations!A3,Schedule!M3&amp;CHAR(9)&amp;Schedule!N3&amp;CHAR(9)&amp;Schedule!O3&amp;CHAR(9)&amp;Schedule!P3&amp;CHAR(9)&amp;Schedule!Q3&amp;CHAR(9)&amp;Schedule!R3&amp;CHAR(9)&amp;Schedule!S3&amp;CHAR(9)&amp;Schedule!T3&amp;CHAR(9)&amp;Schedule!U3&amp;CHAR(9)&amp;Schedule!V3&amp;CHAR(9)&amp;Schedule!W3&amp;CHAR(9)&amp;Schedule!X3&amp;CHAR(9)&amp;Schedule!Y3,"")</f>
        <v>	&amp;		&amp;	27	&amp;	We	&amp;	16	&amp;	Temperature and Heat	\\*	</v>
      </c>
    </row>
    <row r="7" customFormat="false" ht="15" hidden="false" customHeight="false" outlineLevel="0" collapsed="false">
      <c r="B7" s="58" t="str">
        <f aca="false">IF(Calculations!A4,Schedule!M4&amp;CHAR(9)&amp;Schedule!N4&amp;CHAR(9)&amp;Schedule!O4&amp;CHAR(9)&amp;Schedule!P4&amp;CHAR(9)&amp;Schedule!Q4&amp;CHAR(9)&amp;Schedule!R4&amp;CHAR(9)&amp;Schedule!S4&amp;CHAR(9)&amp;Schedule!T4&amp;CHAR(9)&amp;Schedule!U4&amp;CHAR(9)&amp;Schedule!V4&amp;CHAR(9)&amp;Schedule!W4&amp;CHAR(9)&amp;Schedule!X4&amp;CHAR(9)&amp;Schedule!Y4,"")</f>
        <v>	&amp;		&amp;	29	&amp;	Fr	&amp;	17	&amp;	The Thermal Behavior of Matter	\\	\hline</v>
      </c>
    </row>
    <row r="8" customFormat="false" ht="15" hidden="false" customHeight="false" outlineLevel="0" collapsed="false">
      <c r="B8" s="58" t="str">
        <f aca="false">IF(Calculations!A5,Schedule!M5&amp;CHAR(9)&amp;Schedule!N5&amp;CHAR(9)&amp;Schedule!O5&amp;CHAR(9)&amp;Schedule!P5&amp;CHAR(9)&amp;Schedule!Q5&amp;CHAR(9)&amp;Schedule!R5&amp;CHAR(9)&amp;Schedule!S5&amp;CHAR(9)&amp;Schedule!T5&amp;CHAR(9)&amp;Schedule!U5&amp;CHAR(9)&amp;Schedule!V5&amp;CHAR(9)&amp;Schedule!W5&amp;CHAR(9)&amp;Schedule!X5&amp;CHAR(9)&amp;Schedule!Y5,"")</f>
        <v>\multirow{3}{*}{W02}	&amp;	\multirow{3}{*}{Feb}	&amp;	01	&amp;	Mo\rule{0pt}{11pt}	&amp;	17	&amp;	The Thermal Behavior of Matter	\\*	</v>
      </c>
    </row>
    <row r="9" customFormat="false" ht="15" hidden="false" customHeight="false" outlineLevel="0" collapsed="false">
      <c r="B9" s="58" t="str">
        <f aca="false">IF(Calculations!A6,Schedule!M6&amp;CHAR(9)&amp;Schedule!N6&amp;CHAR(9)&amp;Schedule!O6&amp;CHAR(9)&amp;Schedule!P6&amp;CHAR(9)&amp;Schedule!Q6&amp;CHAR(9)&amp;Schedule!R6&amp;CHAR(9)&amp;Schedule!S6&amp;CHAR(9)&amp;Schedule!T6&amp;CHAR(9)&amp;Schedule!U6&amp;CHAR(9)&amp;Schedule!V6&amp;CHAR(9)&amp;Schedule!W6&amp;CHAR(9)&amp;Schedule!X6&amp;CHAR(9)&amp;Schedule!Y6,"")</f>
        <v>	&amp;		&amp;	03	&amp;	We	&amp;	18	&amp;	Heat, Work, and the First Law of Thermodynamics	\\*	</v>
      </c>
    </row>
    <row r="10" customFormat="false" ht="15" hidden="false" customHeight="false" outlineLevel="0" collapsed="false">
      <c r="B10" s="58" t="str">
        <f aca="false">IF(Calculations!A7,Schedule!M7&amp;CHAR(9)&amp;Schedule!N7&amp;CHAR(9)&amp;Schedule!O7&amp;CHAR(9)&amp;Schedule!P7&amp;CHAR(9)&amp;Schedule!Q7&amp;CHAR(9)&amp;Schedule!R7&amp;CHAR(9)&amp;Schedule!S7&amp;CHAR(9)&amp;Schedule!T7&amp;CHAR(9)&amp;Schedule!U7&amp;CHAR(9)&amp;Schedule!V7&amp;CHAR(9)&amp;Schedule!W7&amp;CHAR(9)&amp;Schedule!X7&amp;CHAR(9)&amp;Schedule!Y7,"")</f>
        <v>	&amp;		&amp;	05	&amp;	Fr	&amp;	18	&amp;	Heat, Work, and the First Law of Thermodynamics	\\	\hline</v>
      </c>
    </row>
    <row r="11" customFormat="false" ht="15" hidden="false" customHeight="false" outlineLevel="0" collapsed="false">
      <c r="B11" s="58" t="str">
        <f aca="false">IF(Calculations!A8,Schedule!M8&amp;CHAR(9)&amp;Schedule!N8&amp;CHAR(9)&amp;Schedule!O8&amp;CHAR(9)&amp;Schedule!P8&amp;CHAR(9)&amp;Schedule!Q8&amp;CHAR(9)&amp;Schedule!R8&amp;CHAR(9)&amp;Schedule!S8&amp;CHAR(9)&amp;Schedule!T8&amp;CHAR(9)&amp;Schedule!U8&amp;CHAR(9)&amp;Schedule!V8&amp;CHAR(9)&amp;Schedule!W8&amp;CHAR(9)&amp;Schedule!X8&amp;CHAR(9)&amp;Schedule!Y8,"")</f>
        <v>\multirow{3}{*}{W03}	&amp;	\multirow{3}{*}{Feb}	&amp;	08	&amp;	Mo\rule{0pt}{11pt}	&amp;	19	&amp;	Spring Vacation	\\*	</v>
      </c>
    </row>
    <row r="12" customFormat="false" ht="15" hidden="false" customHeight="false" outlineLevel="0" collapsed="false">
      <c r="B12" s="58" t="str">
        <f aca="false">IF(Calculations!A9,Schedule!M9&amp;CHAR(9)&amp;Schedule!N9&amp;CHAR(9)&amp;Schedule!O9&amp;CHAR(9)&amp;Schedule!P9&amp;CHAR(9)&amp;Schedule!Q9&amp;CHAR(9)&amp;Schedule!R9&amp;CHAR(9)&amp;Schedule!S9&amp;CHAR(9)&amp;Schedule!T9&amp;CHAR(9)&amp;Schedule!U9&amp;CHAR(9)&amp;Schedule!V9&amp;CHAR(9)&amp;Schedule!W9&amp;CHAR(9)&amp;Schedule!X9&amp;CHAR(9)&amp;Schedule!Y9,"")</f>
        <v>	&amp;		&amp;	10	&amp;	We	&amp;	19	&amp;	The Second Law of Thermodynamics  	\\*	</v>
      </c>
    </row>
    <row r="13" customFormat="false" ht="15" hidden="false" customHeight="false" outlineLevel="0" collapsed="false">
      <c r="B13" s="58" t="str">
        <f aca="false">IF(Calculations!A10,Schedule!M10&amp;CHAR(9)&amp;Schedule!N10&amp;CHAR(9)&amp;Schedule!O10&amp;CHAR(9)&amp;Schedule!P10&amp;CHAR(9)&amp;Schedule!Q10&amp;CHAR(9)&amp;Schedule!R10&amp;CHAR(9)&amp;Schedule!S10&amp;CHAR(9)&amp;Schedule!T10&amp;CHAR(9)&amp;Schedule!U10&amp;CHAR(9)&amp;Schedule!V10&amp;CHAR(9)&amp;Schedule!W10&amp;CHAR(9)&amp;Schedule!X10&amp;CHAR(9)&amp;Schedule!Y10,"")</f>
        <v>	&amp;		&amp;	12	&amp;	Fr	&amp;	19	&amp;	The Second Law of Thermodynamics  	\\	\hline</v>
      </c>
    </row>
    <row r="14" customFormat="false" ht="15" hidden="false" customHeight="false" outlineLevel="0" collapsed="false">
      <c r="B14" s="58" t="str">
        <f aca="false">IF(Calculations!A11,Schedule!M11&amp;CHAR(9)&amp;Schedule!N11&amp;CHAR(9)&amp;Schedule!O11&amp;CHAR(9)&amp;Schedule!P11&amp;CHAR(9)&amp;Schedule!Q11&amp;CHAR(9)&amp;Schedule!R11&amp;CHAR(9)&amp;Schedule!S11&amp;CHAR(9)&amp;Schedule!T11&amp;CHAR(9)&amp;Schedule!U11&amp;CHAR(9)&amp;Schedule!V11&amp;CHAR(9)&amp;Schedule!W11&amp;CHAR(9)&amp;Schedule!X11&amp;CHAR(9)&amp;Schedule!Y11,"")</f>
        <v>\multirow{3}{*}{W04}	&amp;	\multirow{3}{*}{Feb}	&amp;	15	&amp;	Mo\rule{0pt}{11pt}	&amp;	No class	&amp;	President's Day	\\*	</v>
      </c>
    </row>
    <row r="15" customFormat="false" ht="15" hidden="false" customHeight="false" outlineLevel="0" collapsed="false">
      <c r="B15" s="58" t="str">
        <f aca="false">IF(Calculations!A12,Schedule!M12&amp;CHAR(9)&amp;Schedule!N12&amp;CHAR(9)&amp;Schedule!O12&amp;CHAR(9)&amp;Schedule!P12&amp;CHAR(9)&amp;Schedule!Q12&amp;CHAR(9)&amp;Schedule!R12&amp;CHAR(9)&amp;Schedule!S12&amp;CHAR(9)&amp;Schedule!T12&amp;CHAR(9)&amp;Schedule!U12&amp;CHAR(9)&amp;Schedule!V12&amp;CHAR(9)&amp;Schedule!W12&amp;CHAR(9)&amp;Schedule!X12&amp;CHAR(9)&amp;Schedule!Y12,"")</f>
        <v>	&amp;		&amp;	17	&amp;	We	&amp;	20	&amp;	Electric Charge, Force, and Field	\\*	</v>
      </c>
    </row>
    <row r="16" customFormat="false" ht="15" hidden="false" customHeight="false" outlineLevel="0" collapsed="false">
      <c r="B16" s="58" t="str">
        <f aca="false">IF(Calculations!A13,Schedule!M13&amp;CHAR(9)&amp;Schedule!N13&amp;CHAR(9)&amp;Schedule!O13&amp;CHAR(9)&amp;Schedule!P13&amp;CHAR(9)&amp;Schedule!Q13&amp;CHAR(9)&amp;Schedule!R13&amp;CHAR(9)&amp;Schedule!S13&amp;CHAR(9)&amp;Schedule!T13&amp;CHAR(9)&amp;Schedule!U13&amp;CHAR(9)&amp;Schedule!V13&amp;CHAR(9)&amp;Schedule!W13&amp;CHAR(9)&amp;Schedule!X13&amp;CHAR(9)&amp;Schedule!Y13,"")</f>
        <v>	&amp;		&amp;	19	&amp;	Fr	&amp;	20	&amp;	Electric Charge, Force, and Field	\\	\hline</v>
      </c>
    </row>
    <row r="17" customFormat="false" ht="15" hidden="false" customHeight="false" outlineLevel="0" collapsed="false">
      <c r="B17" s="58" t="str">
        <f aca="false">IF(Calculations!A14,Schedule!M14&amp;CHAR(9)&amp;Schedule!N14&amp;CHAR(9)&amp;Schedule!O14&amp;CHAR(9)&amp;Schedule!P14&amp;CHAR(9)&amp;Schedule!Q14&amp;CHAR(9)&amp;Schedule!R14&amp;CHAR(9)&amp;Schedule!S14&amp;CHAR(9)&amp;Schedule!T14&amp;CHAR(9)&amp;Schedule!U14&amp;CHAR(9)&amp;Schedule!V14&amp;CHAR(9)&amp;Schedule!W14&amp;CHAR(9)&amp;Schedule!X14&amp;CHAR(9)&amp;Schedule!Y14,"")</f>
        <v>\multirow{3}{*}{W05}	&amp;	\multirow{3}{*}{Feb}	&amp;	22	&amp;	Mo\rule{0pt}{11pt}	&amp;	21	&amp;	Gauss’s Law	\\*	</v>
      </c>
    </row>
    <row r="18" customFormat="false" ht="15" hidden="false" customHeight="false" outlineLevel="0" collapsed="false">
      <c r="B18" s="58" t="str">
        <f aca="false">IF(Calculations!A15,Schedule!M15&amp;CHAR(9)&amp;Schedule!N15&amp;CHAR(9)&amp;Schedule!O15&amp;CHAR(9)&amp;Schedule!P15&amp;CHAR(9)&amp;Schedule!Q15&amp;CHAR(9)&amp;Schedule!R15&amp;CHAR(9)&amp;Schedule!S15&amp;CHAR(9)&amp;Schedule!T15&amp;CHAR(9)&amp;Schedule!U15&amp;CHAR(9)&amp;Schedule!V15&amp;CHAR(9)&amp;Schedule!W15&amp;CHAR(9)&amp;Schedule!X15&amp;CHAR(9)&amp;Schedule!Y15,"")</f>
        <v>	&amp;		&amp;	24	&amp;	We	&amp;	21	&amp;	Gauss’s Law	\\*	</v>
      </c>
    </row>
    <row r="19" customFormat="false" ht="15" hidden="false" customHeight="false" outlineLevel="0" collapsed="false">
      <c r="B19" s="58" t="str">
        <f aca="false">IF(Calculations!A16,Schedule!M16&amp;CHAR(9)&amp;Schedule!N16&amp;CHAR(9)&amp;Schedule!O16&amp;CHAR(9)&amp;Schedule!P16&amp;CHAR(9)&amp;Schedule!Q16&amp;CHAR(9)&amp;Schedule!R16&amp;CHAR(9)&amp;Schedule!S16&amp;CHAR(9)&amp;Schedule!T16&amp;CHAR(9)&amp;Schedule!U16&amp;CHAR(9)&amp;Schedule!V16&amp;CHAR(9)&amp;Schedule!W16&amp;CHAR(9)&amp;Schedule!X16&amp;CHAR(9)&amp;Schedule!Y16,"")</f>
        <v>	&amp;		&amp;	26	&amp;	Fr	&amp;	\textbf{Midterm 1}	&amp;		\\	\hline</v>
      </c>
    </row>
    <row r="20" customFormat="false" ht="15" hidden="false" customHeight="false" outlineLevel="0" collapsed="false">
      <c r="B20" s="58" t="str">
        <f aca="false">IF(Calculations!A17,Schedule!M17&amp;CHAR(9)&amp;Schedule!N17&amp;CHAR(9)&amp;Schedule!O17&amp;CHAR(9)&amp;Schedule!P17&amp;CHAR(9)&amp;Schedule!Q17&amp;CHAR(9)&amp;Schedule!R17&amp;CHAR(9)&amp;Schedule!S17&amp;CHAR(9)&amp;Schedule!T17&amp;CHAR(9)&amp;Schedule!U17&amp;CHAR(9)&amp;Schedule!V17&amp;CHAR(9)&amp;Schedule!W17&amp;CHAR(9)&amp;Schedule!X17&amp;CHAR(9)&amp;Schedule!Y17,"")</f>
        <v>\multirow{3}{*}{W06}	&amp;	\multirow{3}{*}{Mar}	&amp;	01	&amp;	Mo\rule{0pt}{11pt}	&amp;	21	&amp;	Gauss’s Law	\\*	</v>
      </c>
    </row>
    <row r="21" customFormat="false" ht="15" hidden="false" customHeight="false" outlineLevel="0" collapsed="false">
      <c r="B21" s="58" t="str">
        <f aca="false">IF(Calculations!A18,Schedule!M18&amp;CHAR(9)&amp;Schedule!N18&amp;CHAR(9)&amp;Schedule!O18&amp;CHAR(9)&amp;Schedule!P18&amp;CHAR(9)&amp;Schedule!Q18&amp;CHAR(9)&amp;Schedule!R18&amp;CHAR(9)&amp;Schedule!S18&amp;CHAR(9)&amp;Schedule!T18&amp;CHAR(9)&amp;Schedule!U18&amp;CHAR(9)&amp;Schedule!V18&amp;CHAR(9)&amp;Schedule!W18&amp;CHAR(9)&amp;Schedule!X18&amp;CHAR(9)&amp;Schedule!Y18,"")</f>
        <v>	&amp;		&amp;	03	&amp;	We	&amp;	22	&amp;	Electric Potential  	\\*	</v>
      </c>
    </row>
    <row r="22" customFormat="false" ht="15" hidden="false" customHeight="false" outlineLevel="0" collapsed="false">
      <c r="B22" s="58" t="str">
        <f aca="false">IF(Calculations!A19,Schedule!M19&amp;CHAR(9)&amp;Schedule!N19&amp;CHAR(9)&amp;Schedule!O19&amp;CHAR(9)&amp;Schedule!P19&amp;CHAR(9)&amp;Schedule!Q19&amp;CHAR(9)&amp;Schedule!R19&amp;CHAR(9)&amp;Schedule!S19&amp;CHAR(9)&amp;Schedule!T19&amp;CHAR(9)&amp;Schedule!U19&amp;CHAR(9)&amp;Schedule!V19&amp;CHAR(9)&amp;Schedule!W19&amp;CHAR(9)&amp;Schedule!X19&amp;CHAR(9)&amp;Schedule!Y19,"")</f>
        <v>	&amp;		&amp;	05	&amp;	Fr	&amp;	22	&amp;	Electric Potential  	\\	\hline</v>
      </c>
    </row>
    <row r="23" customFormat="false" ht="15" hidden="false" customHeight="false" outlineLevel="0" collapsed="false">
      <c r="B23" s="58" t="str">
        <f aca="false">IF(Calculations!A20,Schedule!M20&amp;CHAR(9)&amp;Schedule!N20&amp;CHAR(9)&amp;Schedule!O20&amp;CHAR(9)&amp;Schedule!P20&amp;CHAR(9)&amp;Schedule!Q20&amp;CHAR(9)&amp;Schedule!R20&amp;CHAR(9)&amp;Schedule!S20&amp;CHAR(9)&amp;Schedule!T20&amp;CHAR(9)&amp;Schedule!U20&amp;CHAR(9)&amp;Schedule!V20&amp;CHAR(9)&amp;Schedule!W20&amp;CHAR(9)&amp;Schedule!X20&amp;CHAR(9)&amp;Schedule!Y20,"")</f>
        <v>\multirow{3}{*}{W07}	&amp;	\multirow{3}{*}{Mar}	&amp;	08	&amp;	Mo\rule{0pt}{11pt}	&amp;	23	&amp;	Electrostatic Energy and Capacitors 	\\*	</v>
      </c>
    </row>
    <row r="24" customFormat="false" ht="15" hidden="false" customHeight="false" outlineLevel="0" collapsed="false">
      <c r="B24" s="58" t="str">
        <f aca="false">IF(Calculations!A21,Schedule!M21&amp;CHAR(9)&amp;Schedule!N21&amp;CHAR(9)&amp;Schedule!O21&amp;CHAR(9)&amp;Schedule!P21&amp;CHAR(9)&amp;Schedule!Q21&amp;CHAR(9)&amp;Schedule!R21&amp;CHAR(9)&amp;Schedule!S21&amp;CHAR(9)&amp;Schedule!T21&amp;CHAR(9)&amp;Schedule!U21&amp;CHAR(9)&amp;Schedule!V21&amp;CHAR(9)&amp;Schedule!W21&amp;CHAR(9)&amp;Schedule!X21&amp;CHAR(9)&amp;Schedule!Y21,"")</f>
        <v>	&amp;		&amp;	10	&amp;	We	&amp;	23	&amp;	Electrostatic Energy and Capacitors 	\\*	</v>
      </c>
    </row>
    <row r="25" customFormat="false" ht="15" hidden="false" customHeight="false" outlineLevel="0" collapsed="false">
      <c r="B25" s="58" t="str">
        <f aca="false">IF(Calculations!A22,Schedule!M22&amp;CHAR(9)&amp;Schedule!N22&amp;CHAR(9)&amp;Schedule!O22&amp;CHAR(9)&amp;Schedule!P22&amp;CHAR(9)&amp;Schedule!Q22&amp;CHAR(9)&amp;Schedule!R22&amp;CHAR(9)&amp;Schedule!S22&amp;CHAR(9)&amp;Schedule!T22&amp;CHAR(9)&amp;Schedule!U22&amp;CHAR(9)&amp;Schedule!V22&amp;CHAR(9)&amp;Schedule!W22&amp;CHAR(9)&amp;Schedule!X22&amp;CHAR(9)&amp;Schedule!Y22,"")</f>
        <v>	&amp;		&amp;	12	&amp;	Fr	&amp;	24	&amp;	Electric Current 	\\	\hline</v>
      </c>
    </row>
    <row r="26" customFormat="false" ht="15" hidden="false" customHeight="false" outlineLevel="0" collapsed="false">
      <c r="B26" s="58" t="str">
        <f aca="false">IF(Calculations!A23,Schedule!M23&amp;CHAR(9)&amp;Schedule!N23&amp;CHAR(9)&amp;Schedule!O23&amp;CHAR(9)&amp;Schedule!P23&amp;CHAR(9)&amp;Schedule!Q23&amp;CHAR(9)&amp;Schedule!R23&amp;CHAR(9)&amp;Schedule!S23&amp;CHAR(9)&amp;Schedule!T23&amp;CHAR(9)&amp;Schedule!U23&amp;CHAR(9)&amp;Schedule!V23&amp;CHAR(9)&amp;Schedule!W23&amp;CHAR(9)&amp;Schedule!X23&amp;CHAR(9)&amp;Schedule!Y23,"")</f>
        <v>\multirow{3}{*}{W08}	&amp;	\multirow{3}{*}{Mar}	&amp;	15	&amp;	Mo\rule{0pt}{11pt}	&amp;	No class	&amp;	Spring Vacation	\\*	</v>
      </c>
    </row>
    <row r="27" customFormat="false" ht="15" hidden="false" customHeight="false" outlineLevel="0" collapsed="false">
      <c r="B27" s="58" t="str">
        <f aca="false">IF(Calculations!A24,Schedule!M24&amp;CHAR(9)&amp;Schedule!N24&amp;CHAR(9)&amp;Schedule!O24&amp;CHAR(9)&amp;Schedule!P24&amp;CHAR(9)&amp;Schedule!Q24&amp;CHAR(9)&amp;Schedule!R24&amp;CHAR(9)&amp;Schedule!S24&amp;CHAR(9)&amp;Schedule!T24&amp;CHAR(9)&amp;Schedule!U24&amp;CHAR(9)&amp;Schedule!V24&amp;CHAR(9)&amp;Schedule!W24&amp;CHAR(9)&amp;Schedule!X24&amp;CHAR(9)&amp;Schedule!Y24,"")</f>
        <v>	&amp;		&amp;	17	&amp;	We	&amp;	No class	&amp;	Spring Vacation	\\*	</v>
      </c>
    </row>
    <row r="28" customFormat="false" ht="15" hidden="false" customHeight="false" outlineLevel="0" collapsed="false">
      <c r="B28" s="58" t="str">
        <f aca="false">IF(Calculations!A25,Schedule!M25&amp;CHAR(9)&amp;Schedule!N25&amp;CHAR(9)&amp;Schedule!O25&amp;CHAR(9)&amp;Schedule!P25&amp;CHAR(9)&amp;Schedule!Q25&amp;CHAR(9)&amp;Schedule!R25&amp;CHAR(9)&amp;Schedule!S25&amp;CHAR(9)&amp;Schedule!T25&amp;CHAR(9)&amp;Schedule!U25&amp;CHAR(9)&amp;Schedule!V25&amp;CHAR(9)&amp;Schedule!W25&amp;CHAR(9)&amp;Schedule!X25&amp;CHAR(9)&amp;Schedule!Y25,"")</f>
        <v>	&amp;		&amp;	19	&amp;	Fr	&amp;	No class	&amp;	Spring Vacation	\\	\hline</v>
      </c>
    </row>
    <row r="29" customFormat="false" ht="15" hidden="false" customHeight="false" outlineLevel="0" collapsed="false">
      <c r="B29" s="58" t="str">
        <f aca="false">IF(Calculations!A26,Schedule!M26&amp;CHAR(9)&amp;Schedule!N26&amp;CHAR(9)&amp;Schedule!O26&amp;CHAR(9)&amp;Schedule!P26&amp;CHAR(9)&amp;Schedule!Q26&amp;CHAR(9)&amp;Schedule!R26&amp;CHAR(9)&amp;Schedule!S26&amp;CHAR(9)&amp;Schedule!T26&amp;CHAR(9)&amp;Schedule!U26&amp;CHAR(9)&amp;Schedule!V26&amp;CHAR(9)&amp;Schedule!W26&amp;CHAR(9)&amp;Schedule!X26&amp;CHAR(9)&amp;Schedule!Y26,"")</f>
        <v>\multirow{3}{*}{W09}	&amp;	\multirow{3}{*}{Mar}	&amp;	22	&amp;	Mo\rule{0pt}{11pt}	&amp;	24	&amp;	Electric Current 	\\*	</v>
      </c>
    </row>
    <row r="30" customFormat="false" ht="15" hidden="false" customHeight="false" outlineLevel="0" collapsed="false">
      <c r="B30" s="58" t="str">
        <f aca="false">IF(Calculations!A27,Schedule!M27&amp;CHAR(9)&amp;Schedule!N27&amp;CHAR(9)&amp;Schedule!O27&amp;CHAR(9)&amp;Schedule!P27&amp;CHAR(9)&amp;Schedule!Q27&amp;CHAR(9)&amp;Schedule!R27&amp;CHAR(9)&amp;Schedule!S27&amp;CHAR(9)&amp;Schedule!T27&amp;CHAR(9)&amp;Schedule!U27&amp;CHAR(9)&amp;Schedule!V27&amp;CHAR(9)&amp;Schedule!W27&amp;CHAR(9)&amp;Schedule!X27&amp;CHAR(9)&amp;Schedule!Y27,"")</f>
        <v>	&amp;		&amp;	24	&amp;	We	&amp;	25	&amp;	Electric Circuits 	\\*	</v>
      </c>
    </row>
    <row r="31" customFormat="false" ht="15" hidden="false" customHeight="false" outlineLevel="0" collapsed="false">
      <c r="B31" s="58" t="str">
        <f aca="false">IF(Calculations!A28,Schedule!M28&amp;CHAR(9)&amp;Schedule!N28&amp;CHAR(9)&amp;Schedule!O28&amp;CHAR(9)&amp;Schedule!P28&amp;CHAR(9)&amp;Schedule!Q28&amp;CHAR(9)&amp;Schedule!R28&amp;CHAR(9)&amp;Schedule!S28&amp;CHAR(9)&amp;Schedule!T28&amp;CHAR(9)&amp;Schedule!U28&amp;CHAR(9)&amp;Schedule!V28&amp;CHAR(9)&amp;Schedule!W28&amp;CHAR(9)&amp;Schedule!X28&amp;CHAR(9)&amp;Schedule!Y28,"")</f>
        <v>	&amp;		&amp;	26	&amp;	Fr	&amp;	25	&amp;	Electric Circuits 	\\	\hline</v>
      </c>
    </row>
    <row r="32" customFormat="false" ht="15" hidden="false" customHeight="false" outlineLevel="0" collapsed="false">
      <c r="B32" s="58" t="str">
        <f aca="false">IF(Calculations!A29,Schedule!M29&amp;CHAR(9)&amp;Schedule!N29&amp;CHAR(9)&amp;Schedule!O29&amp;CHAR(9)&amp;Schedule!P29&amp;CHAR(9)&amp;Schedule!Q29&amp;CHAR(9)&amp;Schedule!R29&amp;CHAR(9)&amp;Schedule!S29&amp;CHAR(9)&amp;Schedule!T29&amp;CHAR(9)&amp;Schedule!U29&amp;CHAR(9)&amp;Schedule!V29&amp;CHAR(9)&amp;Schedule!W29&amp;CHAR(9)&amp;Schedule!X29&amp;CHAR(9)&amp;Schedule!Y29,"")</f>
        <v>\multirow{3}{*}{W10}	&amp;	\multirow{2}{*}{Mar}	&amp;	29	&amp;	Mo\rule{0pt}{11pt}	&amp;	26	&amp;	Magnetism: Force and Field	\\*	</v>
      </c>
    </row>
    <row r="33" customFormat="false" ht="15" hidden="false" customHeight="false" outlineLevel="0" collapsed="false">
      <c r="B33" s="58" t="str">
        <f aca="false">IF(Calculations!A30,Schedule!M30&amp;CHAR(9)&amp;Schedule!N30&amp;CHAR(9)&amp;Schedule!O30&amp;CHAR(9)&amp;Schedule!P30&amp;CHAR(9)&amp;Schedule!Q30&amp;CHAR(9)&amp;Schedule!R30&amp;CHAR(9)&amp;Schedule!S30&amp;CHAR(9)&amp;Schedule!T30&amp;CHAR(9)&amp;Schedule!U30&amp;CHAR(9)&amp;Schedule!V30&amp;CHAR(9)&amp;Schedule!W30&amp;CHAR(9)&amp;Schedule!X30&amp;CHAR(9)&amp;Schedule!Y30,"")</f>
        <v>	&amp;		&amp;	31	&amp;	We	&amp;	26	&amp;	Magnetism: Force and Field	\\*	</v>
      </c>
    </row>
    <row r="34" customFormat="false" ht="15" hidden="false" customHeight="false" outlineLevel="0" collapsed="false">
      <c r="B34" s="58" t="str">
        <f aca="false">IF(Calculations!A31,Schedule!M31&amp;CHAR(9)&amp;Schedule!N31&amp;CHAR(9)&amp;Schedule!O31&amp;CHAR(9)&amp;Schedule!P31&amp;CHAR(9)&amp;Schedule!Q31&amp;CHAR(9)&amp;Schedule!R31&amp;CHAR(9)&amp;Schedule!S31&amp;CHAR(9)&amp;Schedule!T31&amp;CHAR(9)&amp;Schedule!U31&amp;CHAR(9)&amp;Schedule!V31&amp;CHAR(9)&amp;Schedule!W31&amp;CHAR(9)&amp;Schedule!X31&amp;CHAR(9)&amp;Schedule!Y31,"")</f>
        <v>	&amp;	Apr	&amp;	02	&amp;	Fr	&amp;	26	&amp;	Magnetism: Force and Field	\\	\hline</v>
      </c>
    </row>
    <row r="35" customFormat="false" ht="15" hidden="false" customHeight="false" outlineLevel="0" collapsed="false">
      <c r="B35" s="58" t="str">
        <f aca="false">IF(Calculations!A32,Schedule!M32&amp;CHAR(9)&amp;Schedule!N32&amp;CHAR(9)&amp;Schedule!O32&amp;CHAR(9)&amp;Schedule!P32&amp;CHAR(9)&amp;Schedule!Q32&amp;CHAR(9)&amp;Schedule!R32&amp;CHAR(9)&amp;Schedule!S32&amp;CHAR(9)&amp;Schedule!T32&amp;CHAR(9)&amp;Schedule!U32&amp;CHAR(9)&amp;Schedule!V32&amp;CHAR(9)&amp;Schedule!W32&amp;CHAR(9)&amp;Schedule!X32&amp;CHAR(9)&amp;Schedule!Y32,"")</f>
        <v>\multirow{3}{*}{W11}	&amp;	\multirow{3}{*}{Apr}	&amp;	05	&amp;	Mo\rule{0pt}{11pt}	&amp;	26	&amp;	Magnetism: Force and Field	\\*	</v>
      </c>
    </row>
    <row r="36" customFormat="false" ht="15" hidden="false" customHeight="false" outlineLevel="0" collapsed="false">
      <c r="B36" s="58" t="str">
        <f aca="false">IF(Calculations!A33,Schedule!M33&amp;CHAR(9)&amp;Schedule!N33&amp;CHAR(9)&amp;Schedule!O33&amp;CHAR(9)&amp;Schedule!P33&amp;CHAR(9)&amp;Schedule!Q33&amp;CHAR(9)&amp;Schedule!R33&amp;CHAR(9)&amp;Schedule!S33&amp;CHAR(9)&amp;Schedule!T33&amp;CHAR(9)&amp;Schedule!U33&amp;CHAR(9)&amp;Schedule!V33&amp;CHAR(9)&amp;Schedule!W33&amp;CHAR(9)&amp;Schedule!X33&amp;CHAR(9)&amp;Schedule!Y33,"")</f>
        <v>	&amp;		&amp;	07	&amp;	We	&amp;	27	&amp;	Electromagnetic Induction	\\*	</v>
      </c>
    </row>
    <row r="37" customFormat="false" ht="15" hidden="false" customHeight="false" outlineLevel="0" collapsed="false">
      <c r="B37" s="58" t="str">
        <f aca="false">IF(Calculations!A34,Schedule!M34&amp;CHAR(9)&amp;Schedule!N34&amp;CHAR(9)&amp;Schedule!O34&amp;CHAR(9)&amp;Schedule!P34&amp;CHAR(9)&amp;Schedule!Q34&amp;CHAR(9)&amp;Schedule!R34&amp;CHAR(9)&amp;Schedule!S34&amp;CHAR(9)&amp;Schedule!T34&amp;CHAR(9)&amp;Schedule!U34&amp;CHAR(9)&amp;Schedule!V34&amp;CHAR(9)&amp;Schedule!W34&amp;CHAR(9)&amp;Schedule!X34&amp;CHAR(9)&amp;Schedule!Y34,"")</f>
        <v>	&amp;		&amp;	09	&amp;	Fr	&amp;	\textbf{Midterm 2}	&amp;		\\	\hline</v>
      </c>
    </row>
    <row r="38" customFormat="false" ht="15" hidden="false" customHeight="false" outlineLevel="0" collapsed="false">
      <c r="B38" s="58" t="str">
        <f aca="false">IF(Calculations!A35,Schedule!M35&amp;CHAR(9)&amp;Schedule!N35&amp;CHAR(9)&amp;Schedule!O35&amp;CHAR(9)&amp;Schedule!P35&amp;CHAR(9)&amp;Schedule!Q35&amp;CHAR(9)&amp;Schedule!R35&amp;CHAR(9)&amp;Schedule!S35&amp;CHAR(9)&amp;Schedule!T35&amp;CHAR(9)&amp;Schedule!U35&amp;CHAR(9)&amp;Schedule!V35&amp;CHAR(9)&amp;Schedule!W35&amp;CHAR(9)&amp;Schedule!X35&amp;CHAR(9)&amp;Schedule!Y35,"")</f>
        <v>\multirow{3}{*}{W12}	&amp;	\multirow{3}{*}{Apr}	&amp;	12	&amp;	Mo\rule{0pt}{11pt}	&amp;	27	&amp;	Electromagnetic Induction	\\*	</v>
      </c>
    </row>
    <row r="39" customFormat="false" ht="15" hidden="false" customHeight="false" outlineLevel="0" collapsed="false">
      <c r="B39" s="58" t="str">
        <f aca="false">IF(Calculations!A36,Schedule!M36&amp;CHAR(9)&amp;Schedule!N36&amp;CHAR(9)&amp;Schedule!O36&amp;CHAR(9)&amp;Schedule!P36&amp;CHAR(9)&amp;Schedule!Q36&amp;CHAR(9)&amp;Schedule!R36&amp;CHAR(9)&amp;Schedule!S36&amp;CHAR(9)&amp;Schedule!T36&amp;CHAR(9)&amp;Schedule!U36&amp;CHAR(9)&amp;Schedule!V36&amp;CHAR(9)&amp;Schedule!W36&amp;CHAR(9)&amp;Schedule!X36&amp;CHAR(9)&amp;Schedule!Y36,"")</f>
        <v>	&amp;		&amp;	14	&amp;	We	&amp;	27	&amp;	Electromagnetic Induction	\\*	</v>
      </c>
    </row>
    <row r="40" customFormat="false" ht="15" hidden="false" customHeight="false" outlineLevel="0" collapsed="false">
      <c r="B40" s="58" t="str">
        <f aca="false">IF(Calculations!A37,Schedule!M37&amp;CHAR(9)&amp;Schedule!N37&amp;CHAR(9)&amp;Schedule!O37&amp;CHAR(9)&amp;Schedule!P37&amp;CHAR(9)&amp;Schedule!Q37&amp;CHAR(9)&amp;Schedule!R37&amp;CHAR(9)&amp;Schedule!S37&amp;CHAR(9)&amp;Schedule!T37&amp;CHAR(9)&amp;Schedule!U37&amp;CHAR(9)&amp;Schedule!V37&amp;CHAR(9)&amp;Schedule!W37&amp;CHAR(9)&amp;Schedule!X37&amp;CHAR(9)&amp;Schedule!Y37,"")</f>
        <v>	&amp;		&amp;	16	&amp;	Fr	&amp;	28	&amp;	Alternating-Current Circuits	\\	\hline</v>
      </c>
    </row>
    <row r="41" customFormat="false" ht="15" hidden="false" customHeight="false" outlineLevel="0" collapsed="false">
      <c r="B41" s="58" t="str">
        <f aca="false">IF(Calculations!A38,Schedule!M38&amp;CHAR(9)&amp;Schedule!N38&amp;CHAR(9)&amp;Schedule!O38&amp;CHAR(9)&amp;Schedule!P38&amp;CHAR(9)&amp;Schedule!Q38&amp;CHAR(9)&amp;Schedule!R38&amp;CHAR(9)&amp;Schedule!S38&amp;CHAR(9)&amp;Schedule!T38&amp;CHAR(9)&amp;Schedule!U38&amp;CHAR(9)&amp;Schedule!V38&amp;CHAR(9)&amp;Schedule!W38&amp;CHAR(9)&amp;Schedule!X38&amp;CHAR(9)&amp;Schedule!Y38,"")</f>
        <v>\multirow{3}{*}{W13}	&amp;	\multirow{3}{*}{Apr}	&amp;	19	&amp;	Mo\rule{0pt}{11pt}	&amp;	No class	&amp;	Patriot’s Day	\\*	</v>
      </c>
    </row>
    <row r="42" customFormat="false" ht="15" hidden="false" customHeight="false" outlineLevel="0" collapsed="false">
      <c r="B42" s="58" t="str">
        <f aca="false">IF(Calculations!A39,Schedule!M39&amp;CHAR(9)&amp;Schedule!N39&amp;CHAR(9)&amp;Schedule!O39&amp;CHAR(9)&amp;Schedule!P39&amp;CHAR(9)&amp;Schedule!Q39&amp;CHAR(9)&amp;Schedule!R39&amp;CHAR(9)&amp;Schedule!S39&amp;CHAR(9)&amp;Schedule!T39&amp;CHAR(9)&amp;Schedule!U39&amp;CHAR(9)&amp;Schedule!V39&amp;CHAR(9)&amp;Schedule!W39&amp;CHAR(9)&amp;Schedule!X39&amp;CHAR(9)&amp;Schedule!Y39,"")</f>
        <v>	&amp;		&amp;	21	&amp;	We	&amp;	28	&amp;	Alternating-Current Circuits	\\*	</v>
      </c>
    </row>
    <row r="43" customFormat="false" ht="15" hidden="false" customHeight="false" outlineLevel="0" collapsed="false">
      <c r="B43" s="58" t="str">
        <f aca="false">IF(Calculations!A40,Schedule!M40&amp;CHAR(9)&amp;Schedule!N40&amp;CHAR(9)&amp;Schedule!O40&amp;CHAR(9)&amp;Schedule!P40&amp;CHAR(9)&amp;Schedule!Q40&amp;CHAR(9)&amp;Schedule!R40&amp;CHAR(9)&amp;Schedule!S40&amp;CHAR(9)&amp;Schedule!T40&amp;CHAR(9)&amp;Schedule!U40&amp;CHAR(9)&amp;Schedule!V40&amp;CHAR(9)&amp;Schedule!W40&amp;CHAR(9)&amp;Schedule!X40&amp;CHAR(9)&amp;Schedule!Y40,"")</f>
        <v>	&amp;		&amp;	23	&amp;	Fr	&amp;	29	&amp;	Maxwell’s Equations and Electromagnetic Waves	\\	\hline</v>
      </c>
    </row>
    <row r="44" customFormat="false" ht="15" hidden="false" customHeight="false" outlineLevel="0" collapsed="false">
      <c r="B44" s="58" t="str">
        <f aca="false">IF(Calculations!A41,Schedule!M41&amp;CHAR(9)&amp;Schedule!N41&amp;CHAR(9)&amp;Schedule!O41&amp;CHAR(9)&amp;Schedule!P41&amp;CHAR(9)&amp;Schedule!Q41&amp;CHAR(9)&amp;Schedule!R41&amp;CHAR(9)&amp;Schedule!S41&amp;CHAR(9)&amp;Schedule!T41&amp;CHAR(9)&amp;Schedule!U41&amp;CHAR(9)&amp;Schedule!V41&amp;CHAR(9)&amp;Schedule!W41&amp;CHAR(9)&amp;Schedule!X41&amp;CHAR(9)&amp;Schedule!Y41,"")</f>
        <v>\multirow{3}{*}{W14}	&amp;	\multirow{3}{*}{Apr}	&amp;	26	&amp;	Mo\rule{0pt}{11pt}	&amp;	29	&amp;	Maxwell’s Equations and Electromagnetic Waves	\\*	</v>
      </c>
    </row>
    <row r="45" customFormat="false" ht="15" hidden="false" customHeight="false" outlineLevel="0" collapsed="false">
      <c r="B45" s="58" t="str">
        <f aca="false">IF(Calculations!A42,Schedule!M42&amp;CHAR(9)&amp;Schedule!N42&amp;CHAR(9)&amp;Schedule!O42&amp;CHAR(9)&amp;Schedule!P42&amp;CHAR(9)&amp;Schedule!Q42&amp;CHAR(9)&amp;Schedule!R42&amp;CHAR(9)&amp;Schedule!S42&amp;CHAR(9)&amp;Schedule!T42&amp;CHAR(9)&amp;Schedule!U42&amp;CHAR(9)&amp;Schedule!V42&amp;CHAR(9)&amp;Schedule!W42&amp;CHAR(9)&amp;Schedule!X42&amp;CHAR(9)&amp;Schedule!Y42,"")</f>
        <v>	&amp;		&amp;	28	&amp;	We	&amp;	30	&amp;	Reflection and Refraction	\\*	</v>
      </c>
    </row>
    <row r="46" customFormat="false" ht="15" hidden="false" customHeight="false" outlineLevel="0" collapsed="false">
      <c r="B46" s="58" t="str">
        <f aca="false">IF(Calculations!A43,Schedule!M43&amp;CHAR(9)&amp;Schedule!N43&amp;CHAR(9)&amp;Schedule!O43&amp;CHAR(9)&amp;Schedule!P43&amp;CHAR(9)&amp;Schedule!Q43&amp;CHAR(9)&amp;Schedule!R43&amp;CHAR(9)&amp;Schedule!S43&amp;CHAR(9)&amp;Schedule!T43&amp;CHAR(9)&amp;Schedule!U43&amp;CHAR(9)&amp;Schedule!V43&amp;CHAR(9)&amp;Schedule!W43&amp;CHAR(9)&amp;Schedule!X43&amp;CHAR(9)&amp;Schedule!Y43,"")</f>
        <v>	&amp;		&amp;	30	&amp;	Fr	&amp;	30	&amp;	Reflection and Refraction	\\	\hline</v>
      </c>
    </row>
    <row r="47" customFormat="false" ht="15" hidden="false" customHeight="false" outlineLevel="0" collapsed="false">
      <c r="B47" s="58" t="str">
        <f aca="false">IF(Calculations!A44,Schedule!M44&amp;CHAR(9)&amp;Schedule!N44&amp;CHAR(9)&amp;Schedule!O44&amp;CHAR(9)&amp;Schedule!P44&amp;CHAR(9)&amp;Schedule!Q44&amp;CHAR(9)&amp;Schedule!R44&amp;CHAR(9)&amp;Schedule!S44&amp;CHAR(9)&amp;Schedule!T44&amp;CHAR(9)&amp;Schedule!U44&amp;CHAR(9)&amp;Schedule!V44&amp;CHAR(9)&amp;Schedule!W44&amp;CHAR(9)&amp;Schedule!X44&amp;CHAR(9)&amp;Schedule!Y44,"")</f>
        <v>\multirow{3}{*}{W15}	&amp;	\multirow{3}{*}{May}	&amp;	03	&amp;	Mo\rule{0pt}{11pt}	&amp;	31	&amp;	Images and Optical Instruments	\\*	</v>
      </c>
    </row>
    <row r="48" customFormat="false" ht="15" hidden="false" customHeight="false" outlineLevel="0" collapsed="false">
      <c r="B48" s="58" t="str">
        <f aca="false">IF(Calculations!A45,Schedule!M45&amp;CHAR(9)&amp;Schedule!N45&amp;CHAR(9)&amp;Schedule!O45&amp;CHAR(9)&amp;Schedule!P45&amp;CHAR(9)&amp;Schedule!Q45&amp;CHAR(9)&amp;Schedule!R45&amp;CHAR(9)&amp;Schedule!S45&amp;CHAR(9)&amp;Schedule!T45&amp;CHAR(9)&amp;Schedule!U45&amp;CHAR(9)&amp;Schedule!V45&amp;CHAR(9)&amp;Schedule!W45&amp;CHAR(9)&amp;Schedule!X45&amp;CHAR(9)&amp;Schedule!Y45,"")</f>
        <v>	&amp;		&amp;	05	&amp;	We	&amp;	31	&amp;	Images and Optical Instruments	\\*	</v>
      </c>
    </row>
    <row r="49" customFormat="false" ht="15" hidden="false" customHeight="false" outlineLevel="0" collapsed="false">
      <c r="B49" s="58" t="str">
        <f aca="false">IF(Calculations!A46,Schedule!M46&amp;CHAR(9)&amp;Schedule!N46&amp;CHAR(9)&amp;Schedule!O46&amp;CHAR(9)&amp;Schedule!P46&amp;CHAR(9)&amp;Schedule!Q46&amp;CHAR(9)&amp;Schedule!R46&amp;CHAR(9)&amp;Schedule!S46&amp;CHAR(9)&amp;Schedule!T46&amp;CHAR(9)&amp;Schedule!U46&amp;CHAR(9)&amp;Schedule!V46&amp;CHAR(9)&amp;Schedule!W46&amp;CHAR(9)&amp;Schedule!X46&amp;CHAR(9)&amp;Schedule!Y46,"")</f>
        <v>	&amp;		&amp;	07	&amp;	Fr	&amp;	32	&amp;	 Interference and Diffraction	\\	\hline</v>
      </c>
    </row>
    <row r="50" customFormat="false" ht="15" hidden="false" customHeight="false" outlineLevel="0" collapsed="false">
      <c r="B50" s="58" t="str">
        <f aca="false">IF(Calculations!A47,Schedule!M47&amp;CHAR(9)&amp;Schedule!N47&amp;CHAR(9)&amp;Schedule!O47&amp;CHAR(9)&amp;Schedule!P47&amp;CHAR(9)&amp;Schedule!Q47&amp;CHAR(9)&amp;Schedule!R47&amp;CHAR(9)&amp;Schedule!S47&amp;CHAR(9)&amp;Schedule!T47&amp;CHAR(9)&amp;Schedule!U47&amp;CHAR(9)&amp;Schedule!V47&amp;CHAR(9)&amp;Schedule!W47&amp;CHAR(9)&amp;Schedule!X47&amp;CHAR(9)&amp;Schedule!Y47,"")</f>
        <v>\multirow{2}{*}{W16}	&amp;	\multirow{2}{*}{May}	&amp;	10	&amp;	Mo\rule{0pt}{11pt}	&amp;	32	&amp;	 Interference and Diffraction	\\*	</v>
      </c>
    </row>
    <row r="51" customFormat="false" ht="15" hidden="false" customHeight="false" outlineLevel="0" collapsed="false">
      <c r="B51" s="58" t="str">
        <f aca="false">IF(Calculations!A48,Schedule!M48&amp;CHAR(9)&amp;Schedule!N48&amp;CHAR(9)&amp;Schedule!O48&amp;CHAR(9)&amp;Schedule!P48&amp;CHAR(9)&amp;Schedule!Q48&amp;CHAR(9)&amp;Schedule!R48&amp;CHAR(9)&amp;Schedule!S48&amp;CHAR(9)&amp;Schedule!T48&amp;CHAR(9)&amp;Schedule!U48&amp;CHAR(9)&amp;Schedule!V48&amp;CHAR(9)&amp;Schedule!W48&amp;CHAR(9)&amp;Schedule!X48&amp;CHAR(9)&amp;Schedule!Y48,"")</f>
        <v>	&amp;		&amp;	12	&amp;	We	&amp;	32	&amp;	 Interference and Diffraction	\\	\hline</v>
      </c>
    </row>
    <row r="52" customFormat="false" ht="15" hidden="false" customHeight="false" outlineLevel="0" collapsed="false">
      <c r="B52" s="59" t="str">
        <f aca="false">IF(Calculations!A49,Schedule!M49&amp;CHAR(9)&amp;Schedule!N49&amp;CHAR(9)&amp;Schedule!O49&amp;CHAR(9)&amp;Schedule!P49&amp;CHAR(9)&amp;Schedule!Q49&amp;CHAR(9)&amp;Schedule!R49&amp;CHAR(9)&amp;Schedule!S49&amp;CHAR(9)&amp;Schedule!T49&amp;CHAR(9)&amp;Schedule!U49&amp;CHAR(9)&amp;Schedule!V49&amp;CHAR(9)&amp;Schedule!W49&amp;CHAR(9)&amp;Schedule!X49&amp;CHAR(9)&amp;Schedule!Y49,"")</f>
        <v/>
      </c>
    </row>
    <row r="53" customFormat="false" ht="15" hidden="false" customHeight="false" outlineLevel="0" collapsed="false">
      <c r="B53" s="59" t="str">
        <f aca="false">IF(Calculations!A50,Schedule!M50&amp;CHAR(9)&amp;Schedule!N50&amp;CHAR(9)&amp;Schedule!O50&amp;CHAR(9)&amp;Schedule!P50&amp;CHAR(9)&amp;Schedule!Q50&amp;CHAR(9)&amp;Schedule!R50&amp;CHAR(9)&amp;Schedule!S50&amp;CHAR(9)&amp;Schedule!T50&amp;CHAR(9)&amp;Schedule!U50&amp;CHAR(9)&amp;Schedule!V50&amp;CHAR(9)&amp;Schedule!W50&amp;CHAR(9)&amp;Schedule!X50&amp;CHAR(9)&amp;Schedule!Y50,"")</f>
        <v/>
      </c>
    </row>
    <row r="54" customFormat="false" ht="15" hidden="false" customHeight="false" outlineLevel="0" collapsed="false">
      <c r="B54" s="59" t="str">
        <f aca="false">IF(Calculations!A51,Schedule!M51&amp;CHAR(9)&amp;Schedule!N51&amp;CHAR(9)&amp;Schedule!O51&amp;CHAR(9)&amp;Schedule!P51&amp;CHAR(9)&amp;Schedule!Q51&amp;CHAR(9)&amp;Schedule!R51&amp;CHAR(9)&amp;Schedule!S51&amp;CHAR(9)&amp;Schedule!T51&amp;CHAR(9)&amp;Schedule!U51&amp;CHAR(9)&amp;Schedule!V51&amp;CHAR(9)&amp;Schedule!W51&amp;CHAR(9)&amp;Schedule!X51&amp;CHAR(9)&amp;Schedule!Y51,"")</f>
        <v/>
      </c>
    </row>
    <row r="55" customFormat="false" ht="15" hidden="false" customHeight="false" outlineLevel="0" collapsed="false">
      <c r="B55" s="59" t="str">
        <f aca="false">IF(Calculations!A52,Schedule!M52&amp;CHAR(9)&amp;Schedule!N52&amp;CHAR(9)&amp;Schedule!O52&amp;CHAR(9)&amp;Schedule!P52&amp;CHAR(9)&amp;Schedule!Q52&amp;CHAR(9)&amp;Schedule!R52&amp;CHAR(9)&amp;Schedule!S52&amp;CHAR(9)&amp;Schedule!T52&amp;CHAR(9)&amp;Schedule!U52&amp;CHAR(9)&amp;Schedule!V52&amp;CHAR(9)&amp;Schedule!W52&amp;CHAR(9)&amp;Schedule!X52&amp;CHAR(9)&amp;Schedule!Y52,"")</f>
        <v/>
      </c>
    </row>
    <row r="56" customFormat="false" ht="15" hidden="false" customHeight="false" outlineLevel="0" collapsed="false">
      <c r="B56" s="59" t="str">
        <f aca="false">IF(Calculations!A53,Schedule!M53&amp;CHAR(9)&amp;Schedule!N53&amp;CHAR(9)&amp;Schedule!O53&amp;CHAR(9)&amp;Schedule!P53&amp;CHAR(9)&amp;Schedule!Q53&amp;CHAR(9)&amp;Schedule!R53&amp;CHAR(9)&amp;Schedule!S53&amp;CHAR(9)&amp;Schedule!T53&amp;CHAR(9)&amp;Schedule!U53&amp;CHAR(9)&amp;Schedule!V53&amp;CHAR(9)&amp;Schedule!W53&amp;CHAR(9)&amp;Schedule!X53&amp;CHAR(9)&amp;Schedule!Y53,"")</f>
        <v/>
      </c>
    </row>
    <row r="57" customFormat="false" ht="15" hidden="false" customHeight="false" outlineLevel="0" collapsed="false">
      <c r="B57" s="59" t="str">
        <f aca="false">IF(Calculations!A54,Schedule!M54&amp;CHAR(9)&amp;Schedule!N54&amp;CHAR(9)&amp;Schedule!O54&amp;CHAR(9)&amp;Schedule!P54&amp;CHAR(9)&amp;Schedule!Q54&amp;CHAR(9)&amp;Schedule!R54&amp;CHAR(9)&amp;Schedule!S54&amp;CHAR(9)&amp;Schedule!T54&amp;CHAR(9)&amp;Schedule!U54&amp;CHAR(9)&amp;Schedule!V54&amp;CHAR(9)&amp;Schedule!W54&amp;CHAR(9)&amp;Schedule!X54&amp;CHAR(9)&amp;Schedule!Y54,"")</f>
        <v/>
      </c>
    </row>
    <row r="58" customFormat="false" ht="15" hidden="false" customHeight="false" outlineLevel="0" collapsed="false">
      <c r="B58" s="59" t="str">
        <f aca="false">IF(Calculations!A55,Schedule!M55&amp;CHAR(9)&amp;Schedule!N55&amp;CHAR(9)&amp;Schedule!O55&amp;CHAR(9)&amp;Schedule!P55&amp;CHAR(9)&amp;Schedule!Q55&amp;CHAR(9)&amp;Schedule!R55&amp;CHAR(9)&amp;Schedule!S55&amp;CHAR(9)&amp;Schedule!T55&amp;CHAR(9)&amp;Schedule!U55&amp;CHAR(9)&amp;Schedule!V55&amp;CHAR(9)&amp;Schedule!W55&amp;CHAR(9)&amp;Schedule!X55&amp;CHAR(9)&amp;Schedule!Y55,"")</f>
        <v/>
      </c>
    </row>
    <row r="59" customFormat="false" ht="15" hidden="false" customHeight="false" outlineLevel="0" collapsed="false">
      <c r="B59" s="59" t="str">
        <f aca="false">IF(Calculations!A56,Schedule!M56&amp;CHAR(9)&amp;Schedule!N56&amp;CHAR(9)&amp;Schedule!O56&amp;CHAR(9)&amp;Schedule!P56&amp;CHAR(9)&amp;Schedule!Q56&amp;CHAR(9)&amp;Schedule!R56&amp;CHAR(9)&amp;Schedule!S56&amp;CHAR(9)&amp;Schedule!T56&amp;CHAR(9)&amp;Schedule!U56&amp;CHAR(9)&amp;Schedule!V56&amp;CHAR(9)&amp;Schedule!W56&amp;CHAR(9)&amp;Schedule!X56&amp;CHAR(9)&amp;Schedule!Y56,"")</f>
        <v/>
      </c>
    </row>
    <row r="60" customFormat="false" ht="15" hidden="false" customHeight="false" outlineLevel="0" collapsed="false">
      <c r="B60" s="59" t="str">
        <f aca="false">IF(Calculations!A57,Schedule!M57&amp;CHAR(9)&amp;Schedule!N57&amp;CHAR(9)&amp;Schedule!O57&amp;CHAR(9)&amp;Schedule!P57&amp;CHAR(9)&amp;Schedule!Q57&amp;CHAR(9)&amp;Schedule!R57&amp;CHAR(9)&amp;Schedule!S57&amp;CHAR(9)&amp;Schedule!T57&amp;CHAR(9)&amp;Schedule!U57&amp;CHAR(9)&amp;Schedule!V57&amp;CHAR(9)&amp;Schedule!W57&amp;CHAR(9)&amp;Schedule!X57&amp;CHAR(9)&amp;Schedule!Y57,"")</f>
        <v/>
      </c>
    </row>
    <row r="61" customFormat="false" ht="15" hidden="false" customHeight="false" outlineLevel="0" collapsed="false">
      <c r="B61" s="59" t="str">
        <f aca="false">IF(Calculations!A58,Schedule!M58&amp;CHAR(9)&amp;Schedule!N58&amp;CHAR(9)&amp;Schedule!O58&amp;CHAR(9)&amp;Schedule!P58&amp;CHAR(9)&amp;Schedule!Q58&amp;CHAR(9)&amp;Schedule!R58&amp;CHAR(9)&amp;Schedule!S58&amp;CHAR(9)&amp;Schedule!T58&amp;CHAR(9)&amp;Schedule!U58&amp;CHAR(9)&amp;Schedule!V58&amp;CHAR(9)&amp;Schedule!W58&amp;CHAR(9)&amp;Schedule!X58&amp;CHAR(9)&amp;Schedule!Y58,"")</f>
        <v/>
      </c>
    </row>
    <row r="62" customFormat="false" ht="15" hidden="false" customHeight="false" outlineLevel="0" collapsed="false">
      <c r="B62" s="59" t="str">
        <f aca="false">IF(Calculations!A59,Schedule!M59&amp;CHAR(9)&amp;Schedule!N59&amp;CHAR(9)&amp;Schedule!O59&amp;CHAR(9)&amp;Schedule!P59&amp;CHAR(9)&amp;Schedule!Q59&amp;CHAR(9)&amp;Schedule!R59&amp;CHAR(9)&amp;Schedule!S59&amp;CHAR(9)&amp;Schedule!T59&amp;CHAR(9)&amp;Schedule!U59&amp;CHAR(9)&amp;Schedule!V59&amp;CHAR(9)&amp;Schedule!W59&amp;CHAR(9)&amp;Schedule!X59&amp;CHAR(9)&amp;Schedule!Y59,"")</f>
        <v/>
      </c>
    </row>
    <row r="63" customFormat="false" ht="15" hidden="false" customHeight="false" outlineLevel="0" collapsed="false">
      <c r="B63" s="59" t="str">
        <f aca="false">IF(Calculations!A60,Schedule!M60&amp;CHAR(9)&amp;Schedule!N60&amp;CHAR(9)&amp;Schedule!O60&amp;CHAR(9)&amp;Schedule!P60&amp;CHAR(9)&amp;Schedule!Q60&amp;CHAR(9)&amp;Schedule!R60&amp;CHAR(9)&amp;Schedule!S60&amp;CHAR(9)&amp;Schedule!T60&amp;CHAR(9)&amp;Schedule!U60&amp;CHAR(9)&amp;Schedule!V60&amp;CHAR(9)&amp;Schedule!W60&amp;CHAR(9)&amp;Schedule!X60&amp;CHAR(9)&amp;Schedule!Y60,"")</f>
        <v/>
      </c>
    </row>
    <row r="64" customFormat="false" ht="15" hidden="false" customHeight="false" outlineLevel="0" collapsed="false">
      <c r="B64" s="59" t="str">
        <f aca="false">IF(Calculations!A61,Schedule!M61&amp;CHAR(9)&amp;Schedule!N61&amp;CHAR(9)&amp;Schedule!O61&amp;CHAR(9)&amp;Schedule!P61&amp;CHAR(9)&amp;Schedule!Q61&amp;CHAR(9)&amp;Schedule!R61&amp;CHAR(9)&amp;Schedule!S61&amp;CHAR(9)&amp;Schedule!T61&amp;CHAR(9)&amp;Schedule!U61&amp;CHAR(9)&amp;Schedule!V61&amp;CHAR(9)&amp;Schedule!W61&amp;CHAR(9)&amp;Schedule!X61&amp;CHAR(9)&amp;Schedule!Y61,"")</f>
        <v/>
      </c>
    </row>
    <row r="65" customFormat="false" ht="15" hidden="false" customHeight="false" outlineLevel="0" collapsed="false">
      <c r="B65" s="59" t="str">
        <f aca="false">IF(Calculations!A62,Schedule!M62&amp;CHAR(9)&amp;Schedule!N62&amp;CHAR(9)&amp;Schedule!O62&amp;CHAR(9)&amp;Schedule!P62&amp;CHAR(9)&amp;Schedule!Q62&amp;CHAR(9)&amp;Schedule!R62&amp;CHAR(9)&amp;Schedule!S62&amp;CHAR(9)&amp;Schedule!T62&amp;CHAR(9)&amp;Schedule!U62&amp;CHAR(9)&amp;Schedule!V62&amp;CHAR(9)&amp;Schedule!W62&amp;CHAR(9)&amp;Schedule!X62&amp;CHAR(9)&amp;Schedule!Y62,"")</f>
        <v/>
      </c>
    </row>
    <row r="66" customFormat="false" ht="15" hidden="false" customHeight="false" outlineLevel="0" collapsed="false">
      <c r="B66" s="59" t="str">
        <f aca="false">IF(Calculations!A63,Schedule!M63&amp;CHAR(9)&amp;Schedule!N63&amp;CHAR(9)&amp;Schedule!O63&amp;CHAR(9)&amp;Schedule!P63&amp;CHAR(9)&amp;Schedule!Q63&amp;CHAR(9)&amp;Schedule!R63&amp;CHAR(9)&amp;Schedule!S63&amp;CHAR(9)&amp;Schedule!T63&amp;CHAR(9)&amp;Schedule!U63&amp;CHAR(9)&amp;Schedule!V63&amp;CHAR(9)&amp;Schedule!W63&amp;CHAR(9)&amp;Schedule!X63&amp;CHAR(9)&amp;Schedule!Y63,"")</f>
        <v/>
      </c>
    </row>
    <row r="67" customFormat="false" ht="15" hidden="false" customHeight="false" outlineLevel="0" collapsed="false">
      <c r="B67" s="59" t="str">
        <f aca="false">IF(Calculations!A64,Schedule!M64&amp;CHAR(9)&amp;Schedule!N64&amp;CHAR(9)&amp;Schedule!O64&amp;CHAR(9)&amp;Schedule!P64&amp;CHAR(9)&amp;Schedule!Q64&amp;CHAR(9)&amp;Schedule!R64&amp;CHAR(9)&amp;Schedule!S64&amp;CHAR(9)&amp;Schedule!T64&amp;CHAR(9)&amp;Schedule!U64&amp;CHAR(9)&amp;Schedule!V64&amp;CHAR(9)&amp;Schedule!W64&amp;CHAR(9)&amp;Schedule!X64&amp;CHAR(9)&amp;Schedule!Y64,"")</f>
        <v/>
      </c>
    </row>
    <row r="68" customFormat="false" ht="15" hidden="false" customHeight="false" outlineLevel="0" collapsed="false">
      <c r="B68" s="59" t="str">
        <f aca="false">IF(Calculations!A65,Schedule!M65&amp;CHAR(9)&amp;Schedule!N65&amp;CHAR(9)&amp;Schedule!O65&amp;CHAR(9)&amp;Schedule!P65&amp;CHAR(9)&amp;Schedule!Q65&amp;CHAR(9)&amp;Schedule!R65&amp;CHAR(9)&amp;Schedule!S65&amp;CHAR(9)&amp;Schedule!T65&amp;CHAR(9)&amp;Schedule!U65&amp;CHAR(9)&amp;Schedule!V65&amp;CHAR(9)&amp;Schedule!W65&amp;CHAR(9)&amp;Schedule!X65&amp;CHAR(9)&amp;Schedule!Y65,"")</f>
        <v/>
      </c>
    </row>
    <row r="69" customFormat="false" ht="15" hidden="false" customHeight="false" outlineLevel="0" collapsed="false">
      <c r="B69" s="59" t="str">
        <f aca="false">IF(Calculations!A66,Schedule!M66&amp;CHAR(9)&amp;Schedule!N66&amp;CHAR(9)&amp;Schedule!O66&amp;CHAR(9)&amp;Schedule!P66&amp;CHAR(9)&amp;Schedule!Q66&amp;CHAR(9)&amp;Schedule!R66&amp;CHAR(9)&amp;Schedule!S66&amp;CHAR(9)&amp;Schedule!T66&amp;CHAR(9)&amp;Schedule!U66&amp;CHAR(9)&amp;Schedule!V66&amp;CHAR(9)&amp;Schedule!W66&amp;CHAR(9)&amp;Schedule!X66&amp;CHAR(9)&amp;Schedule!Y66,"")</f>
        <v/>
      </c>
    </row>
    <row r="70" customFormat="false" ht="15" hidden="false" customHeight="false" outlineLevel="0" collapsed="false">
      <c r="B70" s="59" t="str">
        <f aca="false">IF(Calculations!A67,Schedule!M67&amp;CHAR(9)&amp;Schedule!N67&amp;CHAR(9)&amp;Schedule!O67&amp;CHAR(9)&amp;Schedule!P67&amp;CHAR(9)&amp;Schedule!Q67&amp;CHAR(9)&amp;Schedule!R67&amp;CHAR(9)&amp;Schedule!S67&amp;CHAR(9)&amp;Schedule!T67&amp;CHAR(9)&amp;Schedule!U67&amp;CHAR(9)&amp;Schedule!V67&amp;CHAR(9)&amp;Schedule!W67&amp;CHAR(9)&amp;Schedule!X67&amp;CHAR(9)&amp;Schedule!Y67,"")</f>
        <v/>
      </c>
    </row>
    <row r="71" customFormat="false" ht="15" hidden="false" customHeight="false" outlineLevel="0" collapsed="false">
      <c r="B71" s="59" t="str">
        <f aca="false">IF(Calculations!A68,Schedule!M68&amp;CHAR(9)&amp;Schedule!N68&amp;CHAR(9)&amp;Schedule!O68&amp;CHAR(9)&amp;Schedule!P68&amp;CHAR(9)&amp;Schedule!Q68&amp;CHAR(9)&amp;Schedule!R68&amp;CHAR(9)&amp;Schedule!S68&amp;CHAR(9)&amp;Schedule!T68&amp;CHAR(9)&amp;Schedule!U68&amp;CHAR(9)&amp;Schedule!V68&amp;CHAR(9)&amp;Schedule!W68&amp;CHAR(9)&amp;Schedule!X68&amp;CHAR(9)&amp;Schedule!Y68,"")</f>
        <v/>
      </c>
    </row>
    <row r="72" customFormat="false" ht="15" hidden="false" customHeight="false" outlineLevel="0" collapsed="false">
      <c r="B72" s="59" t="str">
        <f aca="false">IF(Calculations!A69,Schedule!M69&amp;CHAR(9)&amp;Schedule!N69&amp;CHAR(9)&amp;Schedule!O69&amp;CHAR(9)&amp;Schedule!P69&amp;CHAR(9)&amp;Schedule!Q69&amp;CHAR(9)&amp;Schedule!R69&amp;CHAR(9)&amp;Schedule!S69&amp;CHAR(9)&amp;Schedule!T69&amp;CHAR(9)&amp;Schedule!U69&amp;CHAR(9)&amp;Schedule!V69&amp;CHAR(9)&amp;Schedule!W69&amp;CHAR(9)&amp;Schedule!X69&amp;CHAR(9)&amp;Schedule!Y69,"")</f>
        <v/>
      </c>
    </row>
    <row r="73" customFormat="false" ht="15" hidden="false" customHeight="false" outlineLevel="0" collapsed="false">
      <c r="B73" s="59" t="str">
        <f aca="false">IF(Calculations!A70,Schedule!M70&amp;CHAR(9)&amp;Schedule!N70&amp;CHAR(9)&amp;Schedule!O70&amp;CHAR(9)&amp;Schedule!P70&amp;CHAR(9)&amp;Schedule!Q70&amp;CHAR(9)&amp;Schedule!R70&amp;CHAR(9)&amp;Schedule!S70&amp;CHAR(9)&amp;Schedule!T70&amp;CHAR(9)&amp;Schedule!U70&amp;CHAR(9)&amp;Schedule!V70&amp;CHAR(9)&amp;Schedule!W70&amp;CHAR(9)&amp;Schedule!X70&amp;CHAR(9)&amp;Schedule!Y70,"")</f>
        <v/>
      </c>
    </row>
    <row r="74" customFormat="false" ht="15" hidden="false" customHeight="false" outlineLevel="0" collapsed="false">
      <c r="B74" s="59" t="str">
        <f aca="false">IF(Calculations!A71,Schedule!M71&amp;CHAR(9)&amp;Schedule!N71&amp;CHAR(9)&amp;Schedule!O71&amp;CHAR(9)&amp;Schedule!P71&amp;CHAR(9)&amp;Schedule!Q71&amp;CHAR(9)&amp;Schedule!R71&amp;CHAR(9)&amp;Schedule!S71&amp;CHAR(9)&amp;Schedule!T71&amp;CHAR(9)&amp;Schedule!U71&amp;CHAR(9)&amp;Schedule!V71&amp;CHAR(9)&amp;Schedule!W71&amp;CHAR(9)&amp;Schedule!X71&amp;CHAR(9)&amp;Schedule!Y71,"")</f>
        <v/>
      </c>
    </row>
    <row r="75" customFormat="false" ht="15" hidden="false" customHeight="false" outlineLevel="0" collapsed="false">
      <c r="B75" s="59" t="str">
        <f aca="false">IF(Calculations!A72,Schedule!M72&amp;CHAR(9)&amp;Schedule!N72&amp;CHAR(9)&amp;Schedule!O72&amp;CHAR(9)&amp;Schedule!P72&amp;CHAR(9)&amp;Schedule!Q72&amp;CHAR(9)&amp;Schedule!R72&amp;CHAR(9)&amp;Schedule!S72&amp;CHAR(9)&amp;Schedule!T72&amp;CHAR(9)&amp;Schedule!U72&amp;CHAR(9)&amp;Schedule!V72&amp;CHAR(9)&amp;Schedule!W72&amp;CHAR(9)&amp;Schedule!X72&amp;CHAR(9)&amp;Schedule!Y72,"")</f>
        <v/>
      </c>
    </row>
    <row r="76" customFormat="false" ht="15" hidden="false" customHeight="false" outlineLevel="0" collapsed="false">
      <c r="B76" s="59" t="str">
        <f aca="false">IF(Calculations!A73,Schedule!M73&amp;CHAR(9)&amp;Schedule!N73&amp;CHAR(9)&amp;Schedule!O73&amp;CHAR(9)&amp;Schedule!P73&amp;CHAR(9)&amp;Schedule!Q73&amp;CHAR(9)&amp;Schedule!R73&amp;CHAR(9)&amp;Schedule!S73&amp;CHAR(9)&amp;Schedule!T73&amp;CHAR(9)&amp;Schedule!U73&amp;CHAR(9)&amp;Schedule!V73&amp;CHAR(9)&amp;Schedule!W73&amp;CHAR(9)&amp;Schedule!X73&amp;CHAR(9)&amp;Schedule!Y73,"")</f>
        <v/>
      </c>
    </row>
    <row r="77" customFormat="false" ht="15" hidden="false" customHeight="false" outlineLevel="0" collapsed="false">
      <c r="B77" s="59" t="str">
        <f aca="false">IF(Calculations!A74,Schedule!M74&amp;CHAR(9)&amp;Schedule!N74&amp;CHAR(9)&amp;Schedule!O74&amp;CHAR(9)&amp;Schedule!P74&amp;CHAR(9)&amp;Schedule!Q74&amp;CHAR(9)&amp;Schedule!R74&amp;CHAR(9)&amp;Schedule!S74&amp;CHAR(9)&amp;Schedule!T74&amp;CHAR(9)&amp;Schedule!U74&amp;CHAR(9)&amp;Schedule!V74&amp;CHAR(9)&amp;Schedule!W74&amp;CHAR(9)&amp;Schedule!X74&amp;CHAR(9)&amp;Schedule!Y74,"")</f>
        <v/>
      </c>
    </row>
    <row r="78" customFormat="false" ht="15" hidden="false" customHeight="false" outlineLevel="0" collapsed="false">
      <c r="B78" s="59" t="str">
        <f aca="false">IF(Calculations!A75,Schedule!M75&amp;CHAR(9)&amp;Schedule!N75&amp;CHAR(9)&amp;Schedule!O75&amp;CHAR(9)&amp;Schedule!P75&amp;CHAR(9)&amp;Schedule!Q75&amp;CHAR(9)&amp;Schedule!R75&amp;CHAR(9)&amp;Schedule!S75&amp;CHAR(9)&amp;Schedule!T75&amp;CHAR(9)&amp;Schedule!U75&amp;CHAR(9)&amp;Schedule!V75&amp;CHAR(9)&amp;Schedule!W75&amp;CHAR(9)&amp;Schedule!X75&amp;CHAR(9)&amp;Schedule!Y75,"")</f>
        <v/>
      </c>
    </row>
    <row r="79" customFormat="false" ht="15" hidden="false" customHeight="false" outlineLevel="0" collapsed="false">
      <c r="B79" s="59" t="str">
        <f aca="false">IF(Calculations!A76,Schedule!M76&amp;CHAR(9)&amp;Schedule!N76&amp;CHAR(9)&amp;Schedule!O76&amp;CHAR(9)&amp;Schedule!P76&amp;CHAR(9)&amp;Schedule!Q76&amp;CHAR(9)&amp;Schedule!R76&amp;CHAR(9)&amp;Schedule!S76&amp;CHAR(9)&amp;Schedule!T76&amp;CHAR(9)&amp;Schedule!U76&amp;CHAR(9)&amp;Schedule!V76&amp;CHAR(9)&amp;Schedule!W76&amp;CHAR(9)&amp;Schedule!X76&amp;CHAR(9)&amp;Schedule!Y76,"")</f>
        <v/>
      </c>
    </row>
    <row r="80" customFormat="false" ht="15" hidden="false" customHeight="false" outlineLevel="0" collapsed="false">
      <c r="B80" s="59" t="str">
        <f aca="false">IF(Calculations!A77,Schedule!M77&amp;CHAR(9)&amp;Schedule!N77&amp;CHAR(9)&amp;Schedule!O77&amp;CHAR(9)&amp;Schedule!P77&amp;CHAR(9)&amp;Schedule!Q77&amp;CHAR(9)&amp;Schedule!R77&amp;CHAR(9)&amp;Schedule!S77&amp;CHAR(9)&amp;Schedule!T77&amp;CHAR(9)&amp;Schedule!U77&amp;CHAR(9)&amp;Schedule!V77&amp;CHAR(9)&amp;Schedule!W77&amp;CHAR(9)&amp;Schedule!X77&amp;CHAR(9)&amp;Schedule!Y77,"")</f>
        <v/>
      </c>
    </row>
    <row r="81" customFormat="false" ht="15" hidden="false" customHeight="false" outlineLevel="0" collapsed="false">
      <c r="B81" s="59" t="str">
        <f aca="false">IF(Calculations!A78,Schedule!M78&amp;CHAR(9)&amp;Schedule!N78&amp;CHAR(9)&amp;Schedule!O78&amp;CHAR(9)&amp;Schedule!P78&amp;CHAR(9)&amp;Schedule!Q78&amp;CHAR(9)&amp;Schedule!R78&amp;CHAR(9)&amp;Schedule!S78&amp;CHAR(9)&amp;Schedule!T78&amp;CHAR(9)&amp;Schedule!U78&amp;CHAR(9)&amp;Schedule!V78&amp;CHAR(9)&amp;Schedule!W78&amp;CHAR(9)&amp;Schedule!X78&amp;CHAR(9)&amp;Schedule!Y78,"")</f>
        <v/>
      </c>
    </row>
    <row r="82" customFormat="false" ht="15" hidden="false" customHeight="false" outlineLevel="0" collapsed="false">
      <c r="B82" s="59" t="str">
        <f aca="false">IF(Calculations!A79,Schedule!M79&amp;CHAR(9)&amp;Schedule!N79&amp;CHAR(9)&amp;Schedule!O79&amp;CHAR(9)&amp;Schedule!P79&amp;CHAR(9)&amp;Schedule!Q79&amp;CHAR(9)&amp;Schedule!R79&amp;CHAR(9)&amp;Schedule!S79&amp;CHAR(9)&amp;Schedule!T79&amp;CHAR(9)&amp;Schedule!U79&amp;CHAR(9)&amp;Schedule!V79&amp;CHAR(9)&amp;Schedule!W79&amp;CHAR(9)&amp;Schedule!X79&amp;CHAR(9)&amp;Schedule!Y79,"")</f>
        <v/>
      </c>
    </row>
    <row r="83" customFormat="false" ht="15" hidden="false" customHeight="false" outlineLevel="0" collapsed="false">
      <c r="B83" s="59" t="str">
        <f aca="false">IF(Calculations!A80,Schedule!M80&amp;CHAR(9)&amp;Schedule!N80&amp;CHAR(9)&amp;Schedule!O80&amp;CHAR(9)&amp;Schedule!P80&amp;CHAR(9)&amp;Schedule!Q80&amp;CHAR(9)&amp;Schedule!R80&amp;CHAR(9)&amp;Schedule!S80&amp;CHAR(9)&amp;Schedule!T80&amp;CHAR(9)&amp;Schedule!U80&amp;CHAR(9)&amp;Schedule!V80&amp;CHAR(9)&amp;Schedule!W80&amp;CHAR(9)&amp;Schedule!X80&amp;CHAR(9)&amp;Schedule!Y80,"")</f>
        <v/>
      </c>
    </row>
    <row r="84" customFormat="false" ht="15" hidden="false" customHeight="false" outlineLevel="0" collapsed="false">
      <c r="B84" s="59" t="str">
        <f aca="false">IF(Calculations!A81,Schedule!M81&amp;CHAR(9)&amp;Schedule!N81&amp;CHAR(9)&amp;Schedule!O81&amp;CHAR(9)&amp;Schedule!P81&amp;CHAR(9)&amp;Schedule!Q81&amp;CHAR(9)&amp;Schedule!R81&amp;CHAR(9)&amp;Schedule!S81&amp;CHAR(9)&amp;Schedule!T81&amp;CHAR(9)&amp;Schedule!U81&amp;CHAR(9)&amp;Schedule!V81&amp;CHAR(9)&amp;Schedule!W81&amp;CHAR(9)&amp;Schedule!X81&amp;CHAR(9)&amp;Schedule!Y81,"")</f>
        <v/>
      </c>
    </row>
    <row r="85" customFormat="false" ht="15" hidden="false" customHeight="false" outlineLevel="0" collapsed="false">
      <c r="B85" s="59" t="str">
        <f aca="false">IF(Calculations!A82,Schedule!M82&amp;CHAR(9)&amp;Schedule!N82&amp;CHAR(9)&amp;Schedule!O82&amp;CHAR(9)&amp;Schedule!P82&amp;CHAR(9)&amp;Schedule!Q82&amp;CHAR(9)&amp;Schedule!R82&amp;CHAR(9)&amp;Schedule!S82&amp;CHAR(9)&amp;Schedule!T82&amp;CHAR(9)&amp;Schedule!U82&amp;CHAR(9)&amp;Schedule!V82&amp;CHAR(9)&amp;Schedule!W82&amp;CHAR(9)&amp;Schedule!X82&amp;CHAR(9)&amp;Schedule!Y82,"")</f>
        <v/>
      </c>
    </row>
    <row r="86" customFormat="false" ht="15" hidden="false" customHeight="false" outlineLevel="0" collapsed="false">
      <c r="B86" s="59" t="str">
        <f aca="false">IF(Calculations!A83,Schedule!M83&amp;CHAR(9)&amp;Schedule!N83&amp;CHAR(9)&amp;Schedule!O83&amp;CHAR(9)&amp;Schedule!P83&amp;CHAR(9)&amp;Schedule!Q83&amp;CHAR(9)&amp;Schedule!R83&amp;CHAR(9)&amp;Schedule!S83&amp;CHAR(9)&amp;Schedule!T83&amp;CHAR(9)&amp;Schedule!U83&amp;CHAR(9)&amp;Schedule!V83&amp;CHAR(9)&amp;Schedule!W83&amp;CHAR(9)&amp;Schedule!X83&amp;CHAR(9)&amp;Schedule!Y83,"")</f>
        <v/>
      </c>
    </row>
    <row r="87" customFormat="false" ht="15" hidden="false" customHeight="false" outlineLevel="0" collapsed="false">
      <c r="B87" s="59" t="str">
        <f aca="false">IF(Calculations!A84,Schedule!M84&amp;CHAR(9)&amp;Schedule!N84&amp;CHAR(9)&amp;Schedule!O84&amp;CHAR(9)&amp;Schedule!P84&amp;CHAR(9)&amp;Schedule!Q84&amp;CHAR(9)&amp;Schedule!R84&amp;CHAR(9)&amp;Schedule!S84&amp;CHAR(9)&amp;Schedule!T84&amp;CHAR(9)&amp;Schedule!U84&amp;CHAR(9)&amp;Schedule!V84&amp;CHAR(9)&amp;Schedule!W84&amp;CHAR(9)&amp;Schedule!X84&amp;CHAR(9)&amp;Schedule!Y84,"")</f>
        <v/>
      </c>
    </row>
    <row r="88" customFormat="false" ht="15" hidden="false" customHeight="false" outlineLevel="0" collapsed="false">
      <c r="B88" s="59" t="str">
        <f aca="false">IF(Calculations!A85,Schedule!M85&amp;CHAR(9)&amp;Schedule!N85&amp;CHAR(9)&amp;Schedule!O85&amp;CHAR(9)&amp;Schedule!P85&amp;CHAR(9)&amp;Schedule!Q85&amp;CHAR(9)&amp;Schedule!R85&amp;CHAR(9)&amp;Schedule!S85&amp;CHAR(9)&amp;Schedule!T85&amp;CHAR(9)&amp;Schedule!U85&amp;CHAR(9)&amp;Schedule!V85&amp;CHAR(9)&amp;Schedule!W85&amp;CHAR(9)&amp;Schedule!X85&amp;CHAR(9)&amp;Schedule!Y85,"")</f>
        <v/>
      </c>
    </row>
    <row r="89" customFormat="false" ht="15" hidden="false" customHeight="false" outlineLevel="0" collapsed="false">
      <c r="B89" s="59" t="str">
        <f aca="false">IF(Calculations!A86,Schedule!M86&amp;CHAR(9)&amp;Schedule!N86&amp;CHAR(9)&amp;Schedule!O86&amp;CHAR(9)&amp;Schedule!P86&amp;CHAR(9)&amp;Schedule!Q86&amp;CHAR(9)&amp;Schedule!R86&amp;CHAR(9)&amp;Schedule!S86&amp;CHAR(9)&amp;Schedule!T86&amp;CHAR(9)&amp;Schedule!U86&amp;CHAR(9)&amp;Schedule!V86&amp;CHAR(9)&amp;Schedule!W86&amp;CHAR(9)&amp;Schedule!X86&amp;CHAR(9)&amp;Schedule!Y86,"")</f>
        <v/>
      </c>
    </row>
    <row r="90" customFormat="false" ht="15" hidden="false" customHeight="false" outlineLevel="0" collapsed="false">
      <c r="B90" s="59" t="str">
        <f aca="false">IF(Calculations!A87,Schedule!M87&amp;CHAR(9)&amp;Schedule!N87&amp;CHAR(9)&amp;Schedule!O87&amp;CHAR(9)&amp;Schedule!P87&amp;CHAR(9)&amp;Schedule!Q87&amp;CHAR(9)&amp;Schedule!R87&amp;CHAR(9)&amp;Schedule!S87&amp;CHAR(9)&amp;Schedule!T87&amp;CHAR(9)&amp;Schedule!U87&amp;CHAR(9)&amp;Schedule!V87&amp;CHAR(9)&amp;Schedule!W87&amp;CHAR(9)&amp;Schedule!X87&amp;CHAR(9)&amp;Schedule!Y87,"")</f>
        <v/>
      </c>
    </row>
    <row r="91" customFormat="false" ht="15" hidden="false" customHeight="false" outlineLevel="0" collapsed="false">
      <c r="B91" s="59" t="str">
        <f aca="false">IF(Calculations!A88,Schedule!M88&amp;CHAR(9)&amp;Schedule!N88&amp;CHAR(9)&amp;Schedule!O88&amp;CHAR(9)&amp;Schedule!P88&amp;CHAR(9)&amp;Schedule!Q88&amp;CHAR(9)&amp;Schedule!R88&amp;CHAR(9)&amp;Schedule!S88&amp;CHAR(9)&amp;Schedule!T88&amp;CHAR(9)&amp;Schedule!U88&amp;CHAR(9)&amp;Schedule!V88&amp;CHAR(9)&amp;Schedule!W88&amp;CHAR(9)&amp;Schedule!X88&amp;CHAR(9)&amp;Schedule!Y88,"")</f>
        <v/>
      </c>
    </row>
    <row r="92" customFormat="false" ht="15" hidden="false" customHeight="false" outlineLevel="0" collapsed="false">
      <c r="B92" s="59" t="str">
        <f aca="false">IF(Calculations!A89,Schedule!M89&amp;CHAR(9)&amp;Schedule!N89&amp;CHAR(9)&amp;Schedule!O89&amp;CHAR(9)&amp;Schedule!P89&amp;CHAR(9)&amp;Schedule!Q89&amp;CHAR(9)&amp;Schedule!R89&amp;CHAR(9)&amp;Schedule!S89&amp;CHAR(9)&amp;Schedule!T89&amp;CHAR(9)&amp;Schedule!U89&amp;CHAR(9)&amp;Schedule!V89&amp;CHAR(9)&amp;Schedule!W89&amp;CHAR(9)&amp;Schedule!X89&amp;CHAR(9)&amp;Schedule!Y89,"")</f>
        <v/>
      </c>
    </row>
    <row r="93" customFormat="false" ht="15" hidden="false" customHeight="false" outlineLevel="0" collapsed="false">
      <c r="B93" s="59" t="str">
        <f aca="false">IF(Calculations!A90,Schedule!M90&amp;CHAR(9)&amp;Schedule!N90&amp;CHAR(9)&amp;Schedule!O90&amp;CHAR(9)&amp;Schedule!P90&amp;CHAR(9)&amp;Schedule!Q90&amp;CHAR(9)&amp;Schedule!R90&amp;CHAR(9)&amp;Schedule!S90&amp;CHAR(9)&amp;Schedule!T90&amp;CHAR(9)&amp;Schedule!U90&amp;CHAR(9)&amp;Schedule!V90&amp;CHAR(9)&amp;Schedule!W90&amp;CHAR(9)&amp;Schedule!X90&amp;CHAR(9)&amp;Schedule!Y90,"")</f>
        <v/>
      </c>
    </row>
    <row r="94" customFormat="false" ht="15" hidden="false" customHeight="false" outlineLevel="0" collapsed="false">
      <c r="B94" s="59" t="str">
        <f aca="false">IF(Calculations!A91,Schedule!M91&amp;CHAR(9)&amp;Schedule!N91&amp;CHAR(9)&amp;Schedule!O91&amp;CHAR(9)&amp;Schedule!P91&amp;CHAR(9)&amp;Schedule!Q91&amp;CHAR(9)&amp;Schedule!R91&amp;CHAR(9)&amp;Schedule!S91&amp;CHAR(9)&amp;Schedule!T91&amp;CHAR(9)&amp;Schedule!U91&amp;CHAR(9)&amp;Schedule!V91&amp;CHAR(9)&amp;Schedule!W91&amp;CHAR(9)&amp;Schedule!X91&amp;CHAR(9)&amp;Schedule!Y91,"")</f>
        <v/>
      </c>
    </row>
    <row r="95" customFormat="false" ht="15" hidden="false" customHeight="false" outlineLevel="0" collapsed="false">
      <c r="B95" s="59" t="str">
        <f aca="false">IF(Calculations!A92,Schedule!M92&amp;CHAR(9)&amp;Schedule!N92&amp;CHAR(9)&amp;Schedule!O92&amp;CHAR(9)&amp;Schedule!P92&amp;CHAR(9)&amp;Schedule!Q92&amp;CHAR(9)&amp;Schedule!R92&amp;CHAR(9)&amp;Schedule!S92&amp;CHAR(9)&amp;Schedule!T92&amp;CHAR(9)&amp;Schedule!U92&amp;CHAR(9)&amp;Schedule!V92&amp;CHAR(9)&amp;Schedule!W92&amp;CHAR(9)&amp;Schedule!X92&amp;CHAR(9)&amp;Schedule!Y92,"")</f>
        <v/>
      </c>
    </row>
    <row r="96" customFormat="false" ht="15" hidden="false" customHeight="false" outlineLevel="0" collapsed="false">
      <c r="B96" s="59" t="str">
        <f aca="false">IF(Calculations!A93,Schedule!M93&amp;CHAR(9)&amp;Schedule!N93&amp;CHAR(9)&amp;Schedule!O93&amp;CHAR(9)&amp;Schedule!P93&amp;CHAR(9)&amp;Schedule!Q93&amp;CHAR(9)&amp;Schedule!R93&amp;CHAR(9)&amp;Schedule!S93&amp;CHAR(9)&amp;Schedule!T93&amp;CHAR(9)&amp;Schedule!U93&amp;CHAR(9)&amp;Schedule!V93&amp;CHAR(9)&amp;Schedule!W93&amp;CHAR(9)&amp;Schedule!X93&amp;CHAR(9)&amp;Schedule!Y93,"")</f>
        <v/>
      </c>
    </row>
    <row r="97" customFormat="false" ht="15" hidden="false" customHeight="false" outlineLevel="0" collapsed="false">
      <c r="B97" s="59" t="str">
        <f aca="false">IF(Calculations!A94,Schedule!M94&amp;CHAR(9)&amp;Schedule!N94&amp;CHAR(9)&amp;Schedule!O94&amp;CHAR(9)&amp;Schedule!P94&amp;CHAR(9)&amp;Schedule!Q94&amp;CHAR(9)&amp;Schedule!R94&amp;CHAR(9)&amp;Schedule!S94&amp;CHAR(9)&amp;Schedule!T94&amp;CHAR(9)&amp;Schedule!U94&amp;CHAR(9)&amp;Schedule!V94&amp;CHAR(9)&amp;Schedule!W94&amp;CHAR(9)&amp;Schedule!X94&amp;CHAR(9)&amp;Schedule!Y94,"")</f>
        <v/>
      </c>
    </row>
    <row r="98" customFormat="false" ht="15" hidden="false" customHeight="false" outlineLevel="0" collapsed="false">
      <c r="B98" s="59" t="str">
        <f aca="false">IF(Calculations!A95,Schedule!M95&amp;CHAR(9)&amp;Schedule!N95&amp;CHAR(9)&amp;Schedule!O95&amp;CHAR(9)&amp;Schedule!P95&amp;CHAR(9)&amp;Schedule!Q95&amp;CHAR(9)&amp;Schedule!R95&amp;CHAR(9)&amp;Schedule!S95&amp;CHAR(9)&amp;Schedule!T95&amp;CHAR(9)&amp;Schedule!U95&amp;CHAR(9)&amp;Schedule!V95&amp;CHAR(9)&amp;Schedule!W95&amp;CHAR(9)&amp;Schedule!X95&amp;CHAR(9)&amp;Schedule!Y95,"")</f>
        <v/>
      </c>
    </row>
    <row r="99" customFormat="false" ht="15" hidden="false" customHeight="false" outlineLevel="0" collapsed="false">
      <c r="B99" s="59" t="str">
        <f aca="false">IF(Calculations!A96,Schedule!M96&amp;CHAR(9)&amp;Schedule!N96&amp;CHAR(9)&amp;Schedule!O96&amp;CHAR(9)&amp;Schedule!P96&amp;CHAR(9)&amp;Schedule!Q96&amp;CHAR(9)&amp;Schedule!R96&amp;CHAR(9)&amp;Schedule!S96&amp;CHAR(9)&amp;Schedule!T96&amp;CHAR(9)&amp;Schedule!U96&amp;CHAR(9)&amp;Schedule!V96&amp;CHAR(9)&amp;Schedule!W96&amp;CHAR(9)&amp;Schedule!X96&amp;CHAR(9)&amp;Schedule!Y96,"")</f>
        <v/>
      </c>
    </row>
    <row r="100" customFormat="false" ht="15" hidden="false" customHeight="false" outlineLevel="0" collapsed="false">
      <c r="B100" s="59" t="str">
        <f aca="false">IF(Calculations!A97,Schedule!M97&amp;CHAR(9)&amp;Schedule!N97&amp;CHAR(9)&amp;Schedule!O97&amp;CHAR(9)&amp;Schedule!P97&amp;CHAR(9)&amp;Schedule!Q97&amp;CHAR(9)&amp;Schedule!R97&amp;CHAR(9)&amp;Schedule!S97&amp;CHAR(9)&amp;Schedule!T97&amp;CHAR(9)&amp;Schedule!U97&amp;CHAR(9)&amp;Schedule!V97&amp;CHAR(9)&amp;Schedule!W97&amp;CHAR(9)&amp;Schedule!X97&amp;CHAR(9)&amp;Schedule!Y97,"")</f>
        <v/>
      </c>
    </row>
    <row r="101" customFormat="false" ht="15" hidden="false" customHeight="false" outlineLevel="0" collapsed="false">
      <c r="B101" s="59" t="str">
        <f aca="false">IF(Calculations!A98,Schedule!M98&amp;CHAR(9)&amp;Schedule!N98&amp;CHAR(9)&amp;Schedule!O98&amp;CHAR(9)&amp;Schedule!P98&amp;CHAR(9)&amp;Schedule!Q98&amp;CHAR(9)&amp;Schedule!R98&amp;CHAR(9)&amp;Schedule!S98&amp;CHAR(9)&amp;Schedule!T98&amp;CHAR(9)&amp;Schedule!U98&amp;CHAR(9)&amp;Schedule!V98&amp;CHAR(9)&amp;Schedule!W98&amp;CHAR(9)&amp;Schedule!X98&amp;CHAR(9)&amp;Schedule!Y98,"")</f>
        <v/>
      </c>
    </row>
    <row r="102" customFormat="false" ht="15" hidden="false" customHeight="false" outlineLevel="0" collapsed="false">
      <c r="B102" s="59" t="str">
        <f aca="false">IF(Calculations!A99,Schedule!M99&amp;CHAR(9)&amp;Schedule!N99&amp;CHAR(9)&amp;Schedule!O99&amp;CHAR(9)&amp;Schedule!P99&amp;CHAR(9)&amp;Schedule!Q99&amp;CHAR(9)&amp;Schedule!R99&amp;CHAR(9)&amp;Schedule!S99&amp;CHAR(9)&amp;Schedule!T99&amp;CHAR(9)&amp;Schedule!U99&amp;CHAR(9)&amp;Schedule!V99&amp;CHAR(9)&amp;Schedule!W99&amp;CHAR(9)&amp;Schedule!X99&amp;CHAR(9)&amp;Schedule!Y99,"")</f>
        <v/>
      </c>
    </row>
    <row r="103" customFormat="false" ht="15" hidden="false" customHeight="false" outlineLevel="0" collapsed="false">
      <c r="B103" s="59" t="str">
        <f aca="false">IF(Calculations!A100,Schedule!M100&amp;CHAR(9)&amp;Schedule!N100&amp;CHAR(9)&amp;Schedule!O100&amp;CHAR(9)&amp;Schedule!P100&amp;CHAR(9)&amp;Schedule!Q100&amp;CHAR(9)&amp;Schedule!R100&amp;CHAR(9)&amp;Schedule!S100&amp;CHAR(9)&amp;Schedule!T100&amp;CHAR(9)&amp;Schedule!U100&amp;CHAR(9)&amp;Schedule!V100&amp;CHAR(9)&amp;Schedule!W100&amp;CHAR(9)&amp;Schedule!X100&amp;CHAR(9)&amp;Schedule!Y100,"")</f>
        <v/>
      </c>
    </row>
    <row r="104" customFormat="false" ht="15" hidden="false" customHeight="false" outlineLevel="0" collapsed="false">
      <c r="B104" s="59" t="str">
        <f aca="false">IF(Calculations!A101,Schedule!M101&amp;CHAR(9)&amp;Schedule!N101&amp;CHAR(9)&amp;Schedule!O101&amp;CHAR(9)&amp;Schedule!P101&amp;CHAR(9)&amp;Schedule!Q101&amp;CHAR(9)&amp;Schedule!R101&amp;CHAR(9)&amp;Schedule!S101&amp;CHAR(9)&amp;Schedule!T101&amp;CHAR(9)&amp;Schedule!U101&amp;CHAR(9)&amp;Schedule!V101&amp;CHAR(9)&amp;Schedule!W101&amp;CHAR(9)&amp;Schedule!X101&amp;CHAR(9)&amp;Schedule!Y101,"")</f>
        <v/>
      </c>
    </row>
    <row r="105" customFormat="false" ht="15" hidden="false" customHeight="false" outlineLevel="0" collapsed="false">
      <c r="B105" s="59" t="str">
        <f aca="false">IF(Calculations!A102,Schedule!M102&amp;CHAR(9)&amp;Schedule!N102&amp;CHAR(9)&amp;Schedule!O102&amp;CHAR(9)&amp;Schedule!P102&amp;CHAR(9)&amp;Schedule!Q102&amp;CHAR(9)&amp;Schedule!R102&amp;CHAR(9)&amp;Schedule!S102&amp;CHAR(9)&amp;Schedule!T102&amp;CHAR(9)&amp;Schedule!U102&amp;CHAR(9)&amp;Schedule!V102&amp;CHAR(9)&amp;Schedule!W102&amp;CHAR(9)&amp;Schedule!X102&amp;CHAR(9)&amp;Schedule!Y102,"")</f>
        <v/>
      </c>
    </row>
    <row r="106" customFormat="false" ht="15" hidden="false" customHeight="false" outlineLevel="0" collapsed="false">
      <c r="B106" s="59" t="str">
        <f aca="false">IF(Calculations!A103,Schedule!M103&amp;CHAR(9)&amp;Schedule!N103&amp;CHAR(9)&amp;Schedule!O103&amp;CHAR(9)&amp;Schedule!P103&amp;CHAR(9)&amp;Schedule!Q103&amp;CHAR(9)&amp;Schedule!R103&amp;CHAR(9)&amp;Schedule!S103&amp;CHAR(9)&amp;Schedule!T103&amp;CHAR(9)&amp;Schedule!U103&amp;CHAR(9)&amp;Schedule!V103&amp;CHAR(9)&amp;Schedule!W103&amp;CHAR(9)&amp;Schedule!X103&amp;CHAR(9)&amp;Schedule!Y103,"")</f>
        <v/>
      </c>
    </row>
    <row r="107" customFormat="false" ht="15" hidden="false" customHeight="false" outlineLevel="0" collapsed="false">
      <c r="B107" s="59" t="str">
        <f aca="false">IF(Calculations!A104,Schedule!M104&amp;CHAR(9)&amp;Schedule!N104&amp;CHAR(9)&amp;Schedule!O104&amp;CHAR(9)&amp;Schedule!P104&amp;CHAR(9)&amp;Schedule!Q104&amp;CHAR(9)&amp;Schedule!R104&amp;CHAR(9)&amp;Schedule!S104&amp;CHAR(9)&amp;Schedule!T104&amp;CHAR(9)&amp;Schedule!U104&amp;CHAR(9)&amp;Schedule!V104&amp;CHAR(9)&amp;Schedule!W104&amp;CHAR(9)&amp;Schedule!X104&amp;CHAR(9)&amp;Schedule!Y104,"")</f>
        <v/>
      </c>
    </row>
    <row r="108" customFormat="false" ht="15" hidden="false" customHeight="false" outlineLevel="0" collapsed="false">
      <c r="B108" s="59" t="str">
        <f aca="false">IF(Calculations!A105,Schedule!M105&amp;CHAR(9)&amp;Schedule!N105&amp;CHAR(9)&amp;Schedule!O105&amp;CHAR(9)&amp;Schedule!P105&amp;CHAR(9)&amp;Schedule!Q105&amp;CHAR(9)&amp;Schedule!R105&amp;CHAR(9)&amp;Schedule!S105&amp;CHAR(9)&amp;Schedule!T105&amp;CHAR(9)&amp;Schedule!U105&amp;CHAR(9)&amp;Schedule!V105&amp;CHAR(9)&amp;Schedule!W105&amp;CHAR(9)&amp;Schedule!X105&amp;CHAR(9)&amp;Schedule!Y105,"")</f>
        <v/>
      </c>
    </row>
    <row r="109" customFormat="false" ht="15" hidden="false" customHeight="false" outlineLevel="0" collapsed="false">
      <c r="B109" s="59" t="str">
        <f aca="false">IF(Calculations!A106,Schedule!M106&amp;CHAR(9)&amp;Schedule!N106&amp;CHAR(9)&amp;Schedule!O106&amp;CHAR(9)&amp;Schedule!P106&amp;CHAR(9)&amp;Schedule!Q106&amp;CHAR(9)&amp;Schedule!R106&amp;CHAR(9)&amp;Schedule!S106&amp;CHAR(9)&amp;Schedule!T106&amp;CHAR(9)&amp;Schedule!U106&amp;CHAR(9)&amp;Schedule!V106&amp;CHAR(9)&amp;Schedule!W106&amp;CHAR(9)&amp;Schedule!X106&amp;CHAR(9)&amp;Schedule!Y106,"")</f>
        <v/>
      </c>
    </row>
    <row r="110" customFormat="false" ht="15" hidden="false" customHeight="false" outlineLevel="0" collapsed="false">
      <c r="B110" s="59" t="str">
        <f aca="false">IF(Calculations!A107,Schedule!M107&amp;CHAR(9)&amp;Schedule!N107&amp;CHAR(9)&amp;Schedule!O107&amp;CHAR(9)&amp;Schedule!P107&amp;CHAR(9)&amp;Schedule!Q107&amp;CHAR(9)&amp;Schedule!R107&amp;CHAR(9)&amp;Schedule!S107&amp;CHAR(9)&amp;Schedule!T107&amp;CHAR(9)&amp;Schedule!U107&amp;CHAR(9)&amp;Schedule!V107&amp;CHAR(9)&amp;Schedule!W107&amp;CHAR(9)&amp;Schedule!X107&amp;CHAR(9)&amp;Schedule!Y107,"")</f>
        <v/>
      </c>
    </row>
    <row r="111" customFormat="false" ht="15" hidden="false" customHeight="false" outlineLevel="0" collapsed="false">
      <c r="B111" s="59" t="str">
        <f aca="false">IF(Calculations!A108,Schedule!M108&amp;CHAR(9)&amp;Schedule!N108&amp;CHAR(9)&amp;Schedule!O108&amp;CHAR(9)&amp;Schedule!P108&amp;CHAR(9)&amp;Schedule!Q108&amp;CHAR(9)&amp;Schedule!R108&amp;CHAR(9)&amp;Schedule!S108&amp;CHAR(9)&amp;Schedule!T108&amp;CHAR(9)&amp;Schedule!U108&amp;CHAR(9)&amp;Schedule!V108&amp;CHAR(9)&amp;Schedule!W108&amp;CHAR(9)&amp;Schedule!X108&amp;CHAR(9)&amp;Schedule!Y108,"")</f>
        <v/>
      </c>
    </row>
    <row r="112" customFormat="false" ht="15" hidden="false" customHeight="false" outlineLevel="0" collapsed="false">
      <c r="B112" s="59" t="str">
        <f aca="false">IF(Calculations!A109,Schedule!M109&amp;CHAR(9)&amp;Schedule!N109&amp;CHAR(9)&amp;Schedule!O109&amp;CHAR(9)&amp;Schedule!P109&amp;CHAR(9)&amp;Schedule!Q109&amp;CHAR(9)&amp;Schedule!R109&amp;CHAR(9)&amp;Schedule!S109&amp;CHAR(9)&amp;Schedule!T109&amp;CHAR(9)&amp;Schedule!U109&amp;CHAR(9)&amp;Schedule!V109&amp;CHAR(9)&amp;Schedule!W109&amp;CHAR(9)&amp;Schedule!X109&amp;CHAR(9)&amp;Schedule!Y109,"")</f>
        <v/>
      </c>
    </row>
    <row r="113" customFormat="false" ht="15" hidden="false" customHeight="false" outlineLevel="0" collapsed="false">
      <c r="B113" s="59" t="str">
        <f aca="false">IF(Calculations!A110,Schedule!M110&amp;CHAR(9)&amp;Schedule!N110&amp;CHAR(9)&amp;Schedule!O110&amp;CHAR(9)&amp;Schedule!P110&amp;CHAR(9)&amp;Schedule!Q110&amp;CHAR(9)&amp;Schedule!R110&amp;CHAR(9)&amp;Schedule!S110&amp;CHAR(9)&amp;Schedule!T110&amp;CHAR(9)&amp;Schedule!U110&amp;CHAR(9)&amp;Schedule!V110&amp;CHAR(9)&amp;Schedule!W110&amp;CHAR(9)&amp;Schedule!X110&amp;CHAR(9)&amp;Schedule!Y110,"")</f>
        <v/>
      </c>
    </row>
    <row r="114" customFormat="false" ht="15" hidden="false" customHeight="false" outlineLevel="0" collapsed="false">
      <c r="B114" s="59" t="str">
        <f aca="false">IF(Calculations!A111,Schedule!M111&amp;CHAR(9)&amp;Schedule!N111&amp;CHAR(9)&amp;Schedule!O111&amp;CHAR(9)&amp;Schedule!P111&amp;CHAR(9)&amp;Schedule!Q111&amp;CHAR(9)&amp;Schedule!R111&amp;CHAR(9)&amp;Schedule!S111&amp;CHAR(9)&amp;Schedule!T111&amp;CHAR(9)&amp;Schedule!U111&amp;CHAR(9)&amp;Schedule!V111&amp;CHAR(9)&amp;Schedule!W111&amp;CHAR(9)&amp;Schedule!X111&amp;CHAR(9)&amp;Schedule!Y111,"")</f>
        <v/>
      </c>
    </row>
    <row r="115" customFormat="false" ht="15" hidden="false" customHeight="false" outlineLevel="0" collapsed="false">
      <c r="B115" s="59" t="str">
        <f aca="false">IF(Calculations!A112,Schedule!M112&amp;CHAR(9)&amp;Schedule!N112&amp;CHAR(9)&amp;Schedule!O112&amp;CHAR(9)&amp;Schedule!P112&amp;CHAR(9)&amp;Schedule!Q112&amp;CHAR(9)&amp;Schedule!R112&amp;CHAR(9)&amp;Schedule!S112&amp;CHAR(9)&amp;Schedule!T112&amp;CHAR(9)&amp;Schedule!U112&amp;CHAR(9)&amp;Schedule!V112&amp;CHAR(9)&amp;Schedule!W112&amp;CHAR(9)&amp;Schedule!X112&amp;CHAR(9)&amp;Schedule!Y112,"")</f>
        <v/>
      </c>
    </row>
    <row r="116" customFormat="false" ht="15" hidden="false" customHeight="false" outlineLevel="0" collapsed="false">
      <c r="B116" s="59" t="str">
        <f aca="false">IF(Calculations!A113,Schedule!M113&amp;CHAR(9)&amp;Schedule!N113&amp;CHAR(9)&amp;Schedule!O113&amp;CHAR(9)&amp;Schedule!P113&amp;CHAR(9)&amp;Schedule!Q113&amp;CHAR(9)&amp;Schedule!R113&amp;CHAR(9)&amp;Schedule!S113&amp;CHAR(9)&amp;Schedule!T113&amp;CHAR(9)&amp;Schedule!U113&amp;CHAR(9)&amp;Schedule!V113&amp;CHAR(9)&amp;Schedule!W113&amp;CHAR(9)&amp;Schedule!X113&amp;CHAR(9)&amp;Schedule!Y113,"")</f>
        <v/>
      </c>
    </row>
    <row r="117" customFormat="false" ht="15" hidden="false" customHeight="false" outlineLevel="0" collapsed="false">
      <c r="B117" s="59" t="str">
        <f aca="false">IF(Calculations!A114,Schedule!M114&amp;CHAR(9)&amp;Schedule!N114&amp;CHAR(9)&amp;Schedule!O114&amp;CHAR(9)&amp;Schedule!P114&amp;CHAR(9)&amp;Schedule!Q114&amp;CHAR(9)&amp;Schedule!R114&amp;CHAR(9)&amp;Schedule!S114&amp;CHAR(9)&amp;Schedule!T114&amp;CHAR(9)&amp;Schedule!U114&amp;CHAR(9)&amp;Schedule!V114&amp;CHAR(9)&amp;Schedule!W114&amp;CHAR(9)&amp;Schedule!X114&amp;CHAR(9)&amp;Schedule!Y114,"")</f>
        <v/>
      </c>
    </row>
    <row r="118" customFormat="false" ht="15" hidden="false" customHeight="false" outlineLevel="0" collapsed="false">
      <c r="B118" s="59" t="str">
        <f aca="false">IF(Calculations!A115,Schedule!M115&amp;CHAR(9)&amp;Schedule!N115&amp;CHAR(9)&amp;Schedule!O115&amp;CHAR(9)&amp;Schedule!P115&amp;CHAR(9)&amp;Schedule!Q115&amp;CHAR(9)&amp;Schedule!R115&amp;CHAR(9)&amp;Schedule!S115&amp;CHAR(9)&amp;Schedule!T115&amp;CHAR(9)&amp;Schedule!U115&amp;CHAR(9)&amp;Schedule!V115&amp;CHAR(9)&amp;Schedule!W115&amp;CHAR(9)&amp;Schedule!X115&amp;CHAR(9)&amp;Schedule!Y115,"")</f>
        <v/>
      </c>
    </row>
    <row r="119" customFormat="false" ht="15" hidden="false" customHeight="false" outlineLevel="0" collapsed="false">
      <c r="B119" s="59" t="str">
        <f aca="false">IF(Calculations!A116,Schedule!M116&amp;CHAR(9)&amp;Schedule!N116&amp;CHAR(9)&amp;Schedule!O116&amp;CHAR(9)&amp;Schedule!P116&amp;CHAR(9)&amp;Schedule!Q116&amp;CHAR(9)&amp;Schedule!R116&amp;CHAR(9)&amp;Schedule!S116&amp;CHAR(9)&amp;Schedule!T116&amp;CHAR(9)&amp;Schedule!U116&amp;CHAR(9)&amp;Schedule!V116&amp;CHAR(9)&amp;Schedule!W116&amp;CHAR(9)&amp;Schedule!X116&amp;CHAR(9)&amp;Schedule!Y116,"")</f>
        <v/>
      </c>
    </row>
    <row r="120" customFormat="false" ht="15" hidden="false" customHeight="false" outlineLevel="0" collapsed="false">
      <c r="B120" s="59" t="str">
        <f aca="false">IF(Calculations!A117,Schedule!M117&amp;CHAR(9)&amp;Schedule!N117&amp;CHAR(9)&amp;Schedule!O117&amp;CHAR(9)&amp;Schedule!P117&amp;CHAR(9)&amp;Schedule!Q117&amp;CHAR(9)&amp;Schedule!R117&amp;CHAR(9)&amp;Schedule!S117&amp;CHAR(9)&amp;Schedule!T117&amp;CHAR(9)&amp;Schedule!U117&amp;CHAR(9)&amp;Schedule!V117&amp;CHAR(9)&amp;Schedule!W117&amp;CHAR(9)&amp;Schedule!X117&amp;CHAR(9)&amp;Schedule!Y117,"")</f>
        <v/>
      </c>
    </row>
    <row r="121" customFormat="false" ht="15" hidden="false" customHeight="false" outlineLevel="0" collapsed="false">
      <c r="B121" s="59" t="str">
        <f aca="false">IF(Calculations!A118,Schedule!M118&amp;CHAR(9)&amp;Schedule!N118&amp;CHAR(9)&amp;Schedule!O118&amp;CHAR(9)&amp;Schedule!P118&amp;CHAR(9)&amp;Schedule!Q118&amp;CHAR(9)&amp;Schedule!R118&amp;CHAR(9)&amp;Schedule!S118&amp;CHAR(9)&amp;Schedule!T118&amp;CHAR(9)&amp;Schedule!U118&amp;CHAR(9)&amp;Schedule!V118&amp;CHAR(9)&amp;Schedule!W118&amp;CHAR(9)&amp;Schedule!X118&amp;CHAR(9)&amp;Schedule!Y118,"")</f>
        <v/>
      </c>
    </row>
    <row r="122" customFormat="false" ht="15" hidden="false" customHeight="false" outlineLevel="0" collapsed="false">
      <c r="B122" s="59" t="str">
        <f aca="false">IF(Calculations!A119,Schedule!M119&amp;CHAR(9)&amp;Schedule!N119&amp;CHAR(9)&amp;Schedule!O119&amp;CHAR(9)&amp;Schedule!P119&amp;CHAR(9)&amp;Schedule!Q119&amp;CHAR(9)&amp;Schedule!R119&amp;CHAR(9)&amp;Schedule!S119&amp;CHAR(9)&amp;Schedule!T119&amp;CHAR(9)&amp;Schedule!U119&amp;CHAR(9)&amp;Schedule!V119&amp;CHAR(9)&amp;Schedule!W119&amp;CHAR(9)&amp;Schedule!X119&amp;CHAR(9)&amp;Schedule!Y119,"")</f>
        <v/>
      </c>
    </row>
    <row r="123" customFormat="false" ht="15" hidden="false" customHeight="false" outlineLevel="0" collapsed="false">
      <c r="B123" s="59" t="str">
        <f aca="false">IF(Calculations!A120,Schedule!M120&amp;CHAR(9)&amp;Schedule!N120&amp;CHAR(9)&amp;Schedule!O120&amp;CHAR(9)&amp;Schedule!P120&amp;CHAR(9)&amp;Schedule!Q120&amp;CHAR(9)&amp;Schedule!R120&amp;CHAR(9)&amp;Schedule!S120&amp;CHAR(9)&amp;Schedule!T120&amp;CHAR(9)&amp;Schedule!U120&amp;CHAR(9)&amp;Schedule!V120&amp;CHAR(9)&amp;Schedule!W120&amp;CHAR(9)&amp;Schedule!X120&amp;CHAR(9)&amp;Schedule!Y120,"")</f>
        <v/>
      </c>
    </row>
    <row r="124" customFormat="false" ht="15" hidden="false" customHeight="false" outlineLevel="0" collapsed="false">
      <c r="B124" s="59" t="str">
        <f aca="false">IF(Calculations!A121,Schedule!M121&amp;CHAR(9)&amp;Schedule!N121&amp;CHAR(9)&amp;Schedule!O121&amp;CHAR(9)&amp;Schedule!P121&amp;CHAR(9)&amp;Schedule!Q121&amp;CHAR(9)&amp;Schedule!R121&amp;CHAR(9)&amp;Schedule!S121&amp;CHAR(9)&amp;Schedule!T121&amp;CHAR(9)&amp;Schedule!U121&amp;CHAR(9)&amp;Schedule!V121&amp;CHAR(9)&amp;Schedule!W121&amp;CHAR(9)&amp;Schedule!X121&amp;CHAR(9)&amp;Schedule!Y121,"")</f>
        <v/>
      </c>
    </row>
    <row r="125" customFormat="false" ht="15" hidden="false" customHeight="false" outlineLevel="0" collapsed="false">
      <c r="B125" s="59" t="str">
        <f aca="false">IF(Calculations!A122,Schedule!M122&amp;CHAR(9)&amp;Schedule!N122&amp;CHAR(9)&amp;Schedule!O122&amp;CHAR(9)&amp;Schedule!P122&amp;CHAR(9)&amp;Schedule!Q122&amp;CHAR(9)&amp;Schedule!R122&amp;CHAR(9)&amp;Schedule!S122&amp;CHAR(9)&amp;Schedule!T122&amp;CHAR(9)&amp;Schedule!U122&amp;CHAR(9)&amp;Schedule!V122&amp;CHAR(9)&amp;Schedule!W122&amp;CHAR(9)&amp;Schedule!X122&amp;CHAR(9)&amp;Schedule!Y122,"")</f>
        <v/>
      </c>
    </row>
    <row r="126" customFormat="false" ht="15" hidden="false" customHeight="false" outlineLevel="0" collapsed="false">
      <c r="B126" s="59" t="str">
        <f aca="false">IF(Calculations!A123,Schedule!M123&amp;CHAR(9)&amp;Schedule!N123&amp;CHAR(9)&amp;Schedule!O123&amp;CHAR(9)&amp;Schedule!P123&amp;CHAR(9)&amp;Schedule!Q123&amp;CHAR(9)&amp;Schedule!R123&amp;CHAR(9)&amp;Schedule!S123&amp;CHAR(9)&amp;Schedule!T123&amp;CHAR(9)&amp;Schedule!U123&amp;CHAR(9)&amp;Schedule!V123&amp;CHAR(9)&amp;Schedule!W123&amp;CHAR(9)&amp;Schedule!X123&amp;CHAR(9)&amp;Schedule!Y123,"")</f>
        <v/>
      </c>
    </row>
    <row r="127" customFormat="false" ht="15" hidden="false" customHeight="false" outlineLevel="0" collapsed="false">
      <c r="B127" s="59" t="str">
        <f aca="false">IF(Calculations!A124,Schedule!M124&amp;CHAR(9)&amp;Schedule!N124&amp;CHAR(9)&amp;Schedule!O124&amp;CHAR(9)&amp;Schedule!P124&amp;CHAR(9)&amp;Schedule!Q124&amp;CHAR(9)&amp;Schedule!R124&amp;CHAR(9)&amp;Schedule!S124&amp;CHAR(9)&amp;Schedule!T124&amp;CHAR(9)&amp;Schedule!U124&amp;CHAR(9)&amp;Schedule!V124&amp;CHAR(9)&amp;Schedule!W124&amp;CHAR(9)&amp;Schedule!X124&amp;CHAR(9)&amp;Schedule!Y124,"")</f>
        <v/>
      </c>
    </row>
    <row r="128" customFormat="false" ht="15" hidden="false" customHeight="false" outlineLevel="0" collapsed="false">
      <c r="B128" s="59" t="str">
        <f aca="false">IF(Calculations!A125,Schedule!M125&amp;CHAR(9)&amp;Schedule!N125&amp;CHAR(9)&amp;Schedule!O125&amp;CHAR(9)&amp;Schedule!P125&amp;CHAR(9)&amp;Schedule!Q125&amp;CHAR(9)&amp;Schedule!R125&amp;CHAR(9)&amp;Schedule!S125&amp;CHAR(9)&amp;Schedule!T125&amp;CHAR(9)&amp;Schedule!U125&amp;CHAR(9)&amp;Schedule!V125&amp;CHAR(9)&amp;Schedule!W125&amp;CHAR(9)&amp;Schedule!X125&amp;CHAR(9)&amp;Schedule!Y125,"")</f>
        <v/>
      </c>
    </row>
    <row r="129" customFormat="false" ht="15" hidden="false" customHeight="false" outlineLevel="0" collapsed="false">
      <c r="B129" s="59" t="str">
        <f aca="false">IF(Calculations!A126,Schedule!M126&amp;CHAR(9)&amp;Schedule!N126&amp;CHAR(9)&amp;Schedule!O126&amp;CHAR(9)&amp;Schedule!P126&amp;CHAR(9)&amp;Schedule!Q126&amp;CHAR(9)&amp;Schedule!R126&amp;CHAR(9)&amp;Schedule!S126&amp;CHAR(9)&amp;Schedule!T126&amp;CHAR(9)&amp;Schedule!U126&amp;CHAR(9)&amp;Schedule!V126&amp;CHAR(9)&amp;Schedule!W126&amp;CHAR(9)&amp;Schedule!X126&amp;CHAR(9)&amp;Schedule!Y126,"")</f>
        <v/>
      </c>
    </row>
    <row r="130" customFormat="false" ht="15" hidden="false" customHeight="false" outlineLevel="0" collapsed="false">
      <c r="B130" s="59" t="str">
        <f aca="false">IF(Calculations!A127,Schedule!M127&amp;CHAR(9)&amp;Schedule!N127&amp;CHAR(9)&amp;Schedule!O127&amp;CHAR(9)&amp;Schedule!P127&amp;CHAR(9)&amp;Schedule!Q127&amp;CHAR(9)&amp;Schedule!R127&amp;CHAR(9)&amp;Schedule!S127&amp;CHAR(9)&amp;Schedule!T127&amp;CHAR(9)&amp;Schedule!U127&amp;CHAR(9)&amp;Schedule!V127&amp;CHAR(9)&amp;Schedule!W127&amp;CHAR(9)&amp;Schedule!X127&amp;CHAR(9)&amp;Schedule!Y127,"")</f>
        <v/>
      </c>
    </row>
    <row r="131" customFormat="false" ht="15" hidden="false" customHeight="false" outlineLevel="0" collapsed="false">
      <c r="B131" s="59" t="str">
        <f aca="false">IF(Calculations!A128,Schedule!M128&amp;CHAR(9)&amp;Schedule!N128&amp;CHAR(9)&amp;Schedule!O128&amp;CHAR(9)&amp;Schedule!P128&amp;CHAR(9)&amp;Schedule!Q128&amp;CHAR(9)&amp;Schedule!R128&amp;CHAR(9)&amp;Schedule!S128&amp;CHAR(9)&amp;Schedule!T128&amp;CHAR(9)&amp;Schedule!U128&amp;CHAR(9)&amp;Schedule!V128&amp;CHAR(9)&amp;Schedule!W128&amp;CHAR(9)&amp;Schedule!X128&amp;CHAR(9)&amp;Schedule!Y128,"")</f>
        <v/>
      </c>
    </row>
    <row r="132" customFormat="false" ht="15" hidden="false" customHeight="false" outlineLevel="0" collapsed="false">
      <c r="B132" s="59" t="str">
        <f aca="false">IF(Calculations!A129,Schedule!M129&amp;CHAR(9)&amp;Schedule!N129&amp;CHAR(9)&amp;Schedule!O129&amp;CHAR(9)&amp;Schedule!P129&amp;CHAR(9)&amp;Schedule!Q129&amp;CHAR(9)&amp;Schedule!R129&amp;CHAR(9)&amp;Schedule!S129&amp;CHAR(9)&amp;Schedule!T129&amp;CHAR(9)&amp;Schedule!U129&amp;CHAR(9)&amp;Schedule!V129&amp;CHAR(9)&amp;Schedule!W129&amp;CHAR(9)&amp;Schedule!X129&amp;CHAR(9)&amp;Schedule!Y129,"")</f>
        <v/>
      </c>
    </row>
    <row r="133" customFormat="false" ht="15" hidden="false" customHeight="false" outlineLevel="0" collapsed="false">
      <c r="B133" s="59" t="str">
        <f aca="false">IF(Calculations!A130,Schedule!M130&amp;CHAR(9)&amp;Schedule!N130&amp;CHAR(9)&amp;Schedule!O130&amp;CHAR(9)&amp;Schedule!P130&amp;CHAR(9)&amp;Schedule!Q130&amp;CHAR(9)&amp;Schedule!R130&amp;CHAR(9)&amp;Schedule!S130&amp;CHAR(9)&amp;Schedule!T130&amp;CHAR(9)&amp;Schedule!U130&amp;CHAR(9)&amp;Schedule!V130&amp;CHAR(9)&amp;Schedule!W130&amp;CHAR(9)&amp;Schedule!X130&amp;CHAR(9)&amp;Schedule!Y130,"")</f>
        <v/>
      </c>
    </row>
    <row r="134" customFormat="false" ht="15" hidden="false" customHeight="false" outlineLevel="0" collapsed="false">
      <c r="B134" s="59" t="str">
        <f aca="false">IF(Calculations!A131,Schedule!M131&amp;CHAR(9)&amp;Schedule!N131&amp;CHAR(9)&amp;Schedule!O131&amp;CHAR(9)&amp;Schedule!P131&amp;CHAR(9)&amp;Schedule!Q131&amp;CHAR(9)&amp;Schedule!R131&amp;CHAR(9)&amp;Schedule!S131&amp;CHAR(9)&amp;Schedule!T131&amp;CHAR(9)&amp;Schedule!U131&amp;CHAR(9)&amp;Schedule!V131&amp;CHAR(9)&amp;Schedule!W131&amp;CHAR(9)&amp;Schedule!X131&amp;CHAR(9)&amp;Schedule!Y131,"")</f>
        <v/>
      </c>
    </row>
    <row r="135" customFormat="false" ht="15" hidden="false" customHeight="false" outlineLevel="0" collapsed="false">
      <c r="B135" s="59" t="str">
        <f aca="false">IF(Calculations!A132,Schedule!M132&amp;CHAR(9)&amp;Schedule!N132&amp;CHAR(9)&amp;Schedule!O132&amp;CHAR(9)&amp;Schedule!P132&amp;CHAR(9)&amp;Schedule!Q132&amp;CHAR(9)&amp;Schedule!R132&amp;CHAR(9)&amp;Schedule!S132&amp;CHAR(9)&amp;Schedule!T132&amp;CHAR(9)&amp;Schedule!U132&amp;CHAR(9)&amp;Schedule!V132&amp;CHAR(9)&amp;Schedule!W132&amp;CHAR(9)&amp;Schedule!X132&amp;CHAR(9)&amp;Schedule!Y132,"")</f>
        <v/>
      </c>
    </row>
    <row r="136" customFormat="false" ht="15" hidden="false" customHeight="false" outlineLevel="0" collapsed="false">
      <c r="B136" s="59" t="str">
        <f aca="false">IF(Calculations!A133,Schedule!M133&amp;CHAR(9)&amp;Schedule!N133&amp;CHAR(9)&amp;Schedule!O133&amp;CHAR(9)&amp;Schedule!P133&amp;CHAR(9)&amp;Schedule!Q133&amp;CHAR(9)&amp;Schedule!R133&amp;CHAR(9)&amp;Schedule!S133&amp;CHAR(9)&amp;Schedule!T133&amp;CHAR(9)&amp;Schedule!U133&amp;CHAR(9)&amp;Schedule!V133&amp;CHAR(9)&amp;Schedule!W133&amp;CHAR(9)&amp;Schedule!X133&amp;CHAR(9)&amp;Schedule!Y133,"")</f>
        <v/>
      </c>
    </row>
    <row r="137" customFormat="false" ht="15" hidden="false" customHeight="false" outlineLevel="0" collapsed="false">
      <c r="B137" s="59" t="str">
        <f aca="false">IF(Calculations!A134,Schedule!M134&amp;CHAR(9)&amp;Schedule!N134&amp;CHAR(9)&amp;Schedule!O134&amp;CHAR(9)&amp;Schedule!P134&amp;CHAR(9)&amp;Schedule!Q134&amp;CHAR(9)&amp;Schedule!R134&amp;CHAR(9)&amp;Schedule!S134&amp;CHAR(9)&amp;Schedule!T134&amp;CHAR(9)&amp;Schedule!U134&amp;CHAR(9)&amp;Schedule!V134&amp;CHAR(9)&amp;Schedule!W134&amp;CHAR(9)&amp;Schedule!X134&amp;CHAR(9)&amp;Schedule!Y134,"")</f>
        <v/>
      </c>
    </row>
    <row r="138" customFormat="false" ht="15" hidden="false" customHeight="false" outlineLevel="0" collapsed="false">
      <c r="B138" s="59" t="str">
        <f aca="false">IF(Calculations!A135,Schedule!M135&amp;CHAR(9)&amp;Schedule!N135&amp;CHAR(9)&amp;Schedule!O135&amp;CHAR(9)&amp;Schedule!P135&amp;CHAR(9)&amp;Schedule!Q135&amp;CHAR(9)&amp;Schedule!R135&amp;CHAR(9)&amp;Schedule!S135&amp;CHAR(9)&amp;Schedule!T135&amp;CHAR(9)&amp;Schedule!U135&amp;CHAR(9)&amp;Schedule!V135&amp;CHAR(9)&amp;Schedule!W135&amp;CHAR(9)&amp;Schedule!X135&amp;CHAR(9)&amp;Schedule!Y135,"")</f>
        <v/>
      </c>
    </row>
    <row r="139" customFormat="false" ht="15" hidden="false" customHeight="false" outlineLevel="0" collapsed="false">
      <c r="B139" s="59" t="str">
        <f aca="false">IF(Calculations!A136,Schedule!M136&amp;CHAR(9)&amp;Schedule!N136&amp;CHAR(9)&amp;Schedule!O136&amp;CHAR(9)&amp;Schedule!P136&amp;CHAR(9)&amp;Schedule!Q136&amp;CHAR(9)&amp;Schedule!R136&amp;CHAR(9)&amp;Schedule!S136&amp;CHAR(9)&amp;Schedule!T136&amp;CHAR(9)&amp;Schedule!U136&amp;CHAR(9)&amp;Schedule!V136&amp;CHAR(9)&amp;Schedule!W136&amp;CHAR(9)&amp;Schedule!X136&amp;CHAR(9)&amp;Schedule!Y136,"")</f>
        <v/>
      </c>
    </row>
    <row r="140" customFormat="false" ht="15" hidden="false" customHeight="false" outlineLevel="0" collapsed="false">
      <c r="B140" s="59" t="str">
        <f aca="false">IF(Calculations!A137,Schedule!M137&amp;CHAR(9)&amp;Schedule!N137&amp;CHAR(9)&amp;Schedule!O137&amp;CHAR(9)&amp;Schedule!P137&amp;CHAR(9)&amp;Schedule!Q137&amp;CHAR(9)&amp;Schedule!R137&amp;CHAR(9)&amp;Schedule!S137&amp;CHAR(9)&amp;Schedule!T137&amp;CHAR(9)&amp;Schedule!U137&amp;CHAR(9)&amp;Schedule!V137&amp;CHAR(9)&amp;Schedule!W137&amp;CHAR(9)&amp;Schedule!X137&amp;CHAR(9)&amp;Schedule!Y137,"")</f>
        <v/>
      </c>
    </row>
    <row r="141" customFormat="false" ht="15" hidden="false" customHeight="false" outlineLevel="0" collapsed="false">
      <c r="B141" s="59" t="str">
        <f aca="false">IF(Calculations!A138,Schedule!M138&amp;CHAR(9)&amp;Schedule!N138&amp;CHAR(9)&amp;Schedule!O138&amp;CHAR(9)&amp;Schedule!P138&amp;CHAR(9)&amp;Schedule!Q138&amp;CHAR(9)&amp;Schedule!R138&amp;CHAR(9)&amp;Schedule!S138&amp;CHAR(9)&amp;Schedule!T138&amp;CHAR(9)&amp;Schedule!U138&amp;CHAR(9)&amp;Schedule!V138&amp;CHAR(9)&amp;Schedule!W138&amp;CHAR(9)&amp;Schedule!X138&amp;CHAR(9)&amp;Schedule!Y138,"")</f>
        <v/>
      </c>
    </row>
    <row r="142" customFormat="false" ht="15" hidden="false" customHeight="false" outlineLevel="0" collapsed="false">
      <c r="B142" s="59" t="str">
        <f aca="false">IF(Calculations!A139,Schedule!M139&amp;CHAR(9)&amp;Schedule!N139&amp;CHAR(9)&amp;Schedule!O139&amp;CHAR(9)&amp;Schedule!P139&amp;CHAR(9)&amp;Schedule!Q139&amp;CHAR(9)&amp;Schedule!R139&amp;CHAR(9)&amp;Schedule!S139&amp;CHAR(9)&amp;Schedule!T139&amp;CHAR(9)&amp;Schedule!U139&amp;CHAR(9)&amp;Schedule!V139&amp;CHAR(9)&amp;Schedule!W139&amp;CHAR(9)&amp;Schedule!X139&amp;CHAR(9)&amp;Schedule!Y139,"")</f>
        <v/>
      </c>
    </row>
    <row r="143" customFormat="false" ht="15" hidden="false" customHeight="false" outlineLevel="0" collapsed="false">
      <c r="B143" s="59" t="str">
        <f aca="false">IF(Calculations!A140,Schedule!M140&amp;CHAR(9)&amp;Schedule!N140&amp;CHAR(9)&amp;Schedule!O140&amp;CHAR(9)&amp;Schedule!P140&amp;CHAR(9)&amp;Schedule!Q140&amp;CHAR(9)&amp;Schedule!R140&amp;CHAR(9)&amp;Schedule!S140&amp;CHAR(9)&amp;Schedule!T140&amp;CHAR(9)&amp;Schedule!U140&amp;CHAR(9)&amp;Schedule!V140&amp;CHAR(9)&amp;Schedule!W140&amp;CHAR(9)&amp;Schedule!X140&amp;CHAR(9)&amp;Schedule!Y140,"")</f>
        <v/>
      </c>
    </row>
    <row r="144" customFormat="false" ht="15" hidden="false" customHeight="false" outlineLevel="0" collapsed="false">
      <c r="B144" s="59" t="str">
        <f aca="false">IF(Calculations!A141,Schedule!M141&amp;CHAR(9)&amp;Schedule!N141&amp;CHAR(9)&amp;Schedule!O141&amp;CHAR(9)&amp;Schedule!P141&amp;CHAR(9)&amp;Schedule!Q141&amp;CHAR(9)&amp;Schedule!R141&amp;CHAR(9)&amp;Schedule!S141&amp;CHAR(9)&amp;Schedule!T141&amp;CHAR(9)&amp;Schedule!U141&amp;CHAR(9)&amp;Schedule!V141&amp;CHAR(9)&amp;Schedule!W141&amp;CHAR(9)&amp;Schedule!X141&amp;CHAR(9)&amp;Schedule!Y141,"")</f>
        <v/>
      </c>
    </row>
    <row r="145" customFormat="false" ht="15" hidden="false" customHeight="false" outlineLevel="0" collapsed="false">
      <c r="B145" s="59" t="str">
        <f aca="false">IF(Calculations!A142,Schedule!M142&amp;CHAR(9)&amp;Schedule!N142&amp;CHAR(9)&amp;Schedule!O142&amp;CHAR(9)&amp;Schedule!P142&amp;CHAR(9)&amp;Schedule!Q142&amp;CHAR(9)&amp;Schedule!R142&amp;CHAR(9)&amp;Schedule!S142&amp;CHAR(9)&amp;Schedule!T142&amp;CHAR(9)&amp;Schedule!U142&amp;CHAR(9)&amp;Schedule!V142&amp;CHAR(9)&amp;Schedule!W142&amp;CHAR(9)&amp;Schedule!X142&amp;CHAR(9)&amp;Schedule!Y142,"")</f>
        <v/>
      </c>
    </row>
    <row r="146" customFormat="false" ht="15" hidden="false" customHeight="false" outlineLevel="0" collapsed="false">
      <c r="B146" s="59" t="str">
        <f aca="false">IF(Calculations!A143,Schedule!M143&amp;CHAR(9)&amp;Schedule!N143&amp;CHAR(9)&amp;Schedule!O143&amp;CHAR(9)&amp;Schedule!P143&amp;CHAR(9)&amp;Schedule!Q143&amp;CHAR(9)&amp;Schedule!R143&amp;CHAR(9)&amp;Schedule!S143&amp;CHAR(9)&amp;Schedule!T143&amp;CHAR(9)&amp;Schedule!U143&amp;CHAR(9)&amp;Schedule!V143&amp;CHAR(9)&amp;Schedule!W143&amp;CHAR(9)&amp;Schedule!X143&amp;CHAR(9)&amp;Schedule!Y143,"")</f>
        <v/>
      </c>
    </row>
    <row r="147" customFormat="false" ht="15" hidden="false" customHeight="false" outlineLevel="0" collapsed="false">
      <c r="B147" s="59" t="str">
        <f aca="false">IF(Calculations!A144,Schedule!M144&amp;CHAR(9)&amp;Schedule!N144&amp;CHAR(9)&amp;Schedule!O144&amp;CHAR(9)&amp;Schedule!P144&amp;CHAR(9)&amp;Schedule!Q144&amp;CHAR(9)&amp;Schedule!R144&amp;CHAR(9)&amp;Schedule!S144&amp;CHAR(9)&amp;Schedule!T144&amp;CHAR(9)&amp;Schedule!U144&amp;CHAR(9)&amp;Schedule!V144&amp;CHAR(9)&amp;Schedule!W144&amp;CHAR(9)&amp;Schedule!X144&amp;CHAR(9)&amp;Schedule!Y144,"")</f>
        <v/>
      </c>
    </row>
    <row r="148" customFormat="false" ht="15" hidden="false" customHeight="false" outlineLevel="0" collapsed="false">
      <c r="B148" s="59" t="str">
        <f aca="false">IF(Calculations!A145,Schedule!M145&amp;CHAR(9)&amp;Schedule!N145&amp;CHAR(9)&amp;Schedule!O145&amp;CHAR(9)&amp;Schedule!P145&amp;CHAR(9)&amp;Schedule!Q145&amp;CHAR(9)&amp;Schedule!R145&amp;CHAR(9)&amp;Schedule!S145&amp;CHAR(9)&amp;Schedule!T145&amp;CHAR(9)&amp;Schedule!U145&amp;CHAR(9)&amp;Schedule!V145&amp;CHAR(9)&amp;Schedule!W145&amp;CHAR(9)&amp;Schedule!X145&amp;CHAR(9)&amp;Schedule!Y145,"")</f>
        <v/>
      </c>
    </row>
    <row r="149" customFormat="false" ht="15" hidden="false" customHeight="false" outlineLevel="0" collapsed="false">
      <c r="B149" s="59" t="str">
        <f aca="false">IF(Calculations!A146,Schedule!M146&amp;CHAR(9)&amp;Schedule!N146&amp;CHAR(9)&amp;Schedule!O146&amp;CHAR(9)&amp;Schedule!P146&amp;CHAR(9)&amp;Schedule!Q146&amp;CHAR(9)&amp;Schedule!R146&amp;CHAR(9)&amp;Schedule!S146&amp;CHAR(9)&amp;Schedule!T146&amp;CHAR(9)&amp;Schedule!U146&amp;CHAR(9)&amp;Schedule!V146&amp;CHAR(9)&amp;Schedule!W146&amp;CHAR(9)&amp;Schedule!X146&amp;CHAR(9)&amp;Schedule!Y146,"")</f>
        <v/>
      </c>
    </row>
    <row r="150" customFormat="false" ht="15" hidden="false" customHeight="false" outlineLevel="0" collapsed="false">
      <c r="B150" s="59" t="str">
        <f aca="false">IF(Calculations!A147,Schedule!M147&amp;CHAR(9)&amp;Schedule!N147&amp;CHAR(9)&amp;Schedule!O147&amp;CHAR(9)&amp;Schedule!P147&amp;CHAR(9)&amp;Schedule!Q147&amp;CHAR(9)&amp;Schedule!R147&amp;CHAR(9)&amp;Schedule!S147&amp;CHAR(9)&amp;Schedule!T147&amp;CHAR(9)&amp;Schedule!U147&amp;CHAR(9)&amp;Schedule!V147&amp;CHAR(9)&amp;Schedule!W147&amp;CHAR(9)&amp;Schedule!X147&amp;CHAR(9)&amp;Schedule!Y147,"")</f>
        <v/>
      </c>
    </row>
    <row r="151" customFormat="false" ht="15" hidden="false" customHeight="false" outlineLevel="0" collapsed="false">
      <c r="B151" s="59" t="str">
        <f aca="false">IF(Calculations!A148,Schedule!M148&amp;CHAR(9)&amp;Schedule!N148&amp;CHAR(9)&amp;Schedule!O148&amp;CHAR(9)&amp;Schedule!P148&amp;CHAR(9)&amp;Schedule!Q148&amp;CHAR(9)&amp;Schedule!R148&amp;CHAR(9)&amp;Schedule!S148&amp;CHAR(9)&amp;Schedule!T148&amp;CHAR(9)&amp;Schedule!U148&amp;CHAR(9)&amp;Schedule!V148&amp;CHAR(9)&amp;Schedule!W148&amp;CHAR(9)&amp;Schedule!X148&amp;CHAR(9)&amp;Schedule!Y148,"")</f>
        <v/>
      </c>
    </row>
    <row r="152" customFormat="false" ht="15" hidden="false" customHeight="false" outlineLevel="0" collapsed="false">
      <c r="B152" s="59" t="str">
        <f aca="false">IF(Calculations!A149,Schedule!M149&amp;CHAR(9)&amp;Schedule!N149&amp;CHAR(9)&amp;Schedule!O149&amp;CHAR(9)&amp;Schedule!P149&amp;CHAR(9)&amp;Schedule!Q149&amp;CHAR(9)&amp;Schedule!R149&amp;CHAR(9)&amp;Schedule!S149&amp;CHAR(9)&amp;Schedule!T149&amp;CHAR(9)&amp;Schedule!U149&amp;CHAR(9)&amp;Schedule!V149&amp;CHAR(9)&amp;Schedule!W149&amp;CHAR(9)&amp;Schedule!X149&amp;CHAR(9)&amp;Schedule!Y149,"")</f>
        <v/>
      </c>
    </row>
    <row r="153" customFormat="false" ht="15" hidden="false" customHeight="false" outlineLevel="0" collapsed="false">
      <c r="B153" s="59" t="str">
        <f aca="false">IF(Calculations!A150,Schedule!M150&amp;CHAR(9)&amp;Schedule!N150&amp;CHAR(9)&amp;Schedule!O150&amp;CHAR(9)&amp;Schedule!P150&amp;CHAR(9)&amp;Schedule!Q150&amp;CHAR(9)&amp;Schedule!R150&amp;CHAR(9)&amp;Schedule!S150&amp;CHAR(9)&amp;Schedule!T150&amp;CHAR(9)&amp;Schedule!U150&amp;CHAR(9)&amp;Schedule!V150&amp;CHAR(9)&amp;Schedule!W150&amp;CHAR(9)&amp;Schedule!X150&amp;CHAR(9)&amp;Schedule!Y150,"")</f>
        <v/>
      </c>
    </row>
    <row r="154" customFormat="false" ht="15" hidden="false" customHeight="false" outlineLevel="0" collapsed="false">
      <c r="B154" s="59" t="str">
        <f aca="false">IF(Calculations!A151,Schedule!M151&amp;CHAR(9)&amp;Schedule!N151&amp;CHAR(9)&amp;Schedule!O151&amp;CHAR(9)&amp;Schedule!P151&amp;CHAR(9)&amp;Schedule!Q151&amp;CHAR(9)&amp;Schedule!R151&amp;CHAR(9)&amp;Schedule!S151&amp;CHAR(9)&amp;Schedule!T151&amp;CHAR(9)&amp;Schedule!U151&amp;CHAR(9)&amp;Schedule!V151&amp;CHAR(9)&amp;Schedule!W151&amp;CHAR(9)&amp;Schedule!X151&amp;CHAR(9)&amp;Schedule!Y151,"")</f>
        <v/>
      </c>
    </row>
    <row r="155" customFormat="false" ht="15" hidden="false" customHeight="false" outlineLevel="0" collapsed="false">
      <c r="B155" s="59" t="str">
        <f aca="false">IF(Calculations!A152,Schedule!M152&amp;CHAR(9)&amp;Schedule!N152&amp;CHAR(9)&amp;Schedule!O152&amp;CHAR(9)&amp;Schedule!P152&amp;CHAR(9)&amp;Schedule!Q152&amp;CHAR(9)&amp;Schedule!R152&amp;CHAR(9)&amp;Schedule!S152&amp;CHAR(9)&amp;Schedule!T152&amp;CHAR(9)&amp;Schedule!U152&amp;CHAR(9)&amp;Schedule!V152&amp;CHAR(9)&amp;Schedule!W152&amp;CHAR(9)&amp;Schedule!X152&amp;CHAR(9)&amp;Schedule!Y152,"")</f>
        <v/>
      </c>
    </row>
    <row r="156" customFormat="false" ht="15" hidden="false" customHeight="false" outlineLevel="0" collapsed="false">
      <c r="B156" s="59" t="str">
        <f aca="false">IF(Calculations!A153,Schedule!M153&amp;CHAR(9)&amp;Schedule!N153&amp;CHAR(9)&amp;Schedule!O153&amp;CHAR(9)&amp;Schedule!P153&amp;CHAR(9)&amp;Schedule!Q153&amp;CHAR(9)&amp;Schedule!R153&amp;CHAR(9)&amp;Schedule!S153&amp;CHAR(9)&amp;Schedule!T153&amp;CHAR(9)&amp;Schedule!U153&amp;CHAR(9)&amp;Schedule!V153&amp;CHAR(9)&amp;Schedule!W153&amp;CHAR(9)&amp;Schedule!X153&amp;CHAR(9)&amp;Schedule!Y153,"")</f>
        <v/>
      </c>
    </row>
    <row r="157" customFormat="false" ht="15" hidden="false" customHeight="false" outlineLevel="0" collapsed="false">
      <c r="B157" s="59" t="str">
        <f aca="false">IF(Calculations!A154,Schedule!M154&amp;CHAR(9)&amp;Schedule!N154&amp;CHAR(9)&amp;Schedule!O154&amp;CHAR(9)&amp;Schedule!P154&amp;CHAR(9)&amp;Schedule!Q154&amp;CHAR(9)&amp;Schedule!R154&amp;CHAR(9)&amp;Schedule!S154&amp;CHAR(9)&amp;Schedule!T154&amp;CHAR(9)&amp;Schedule!U154&amp;CHAR(9)&amp;Schedule!V154&amp;CHAR(9)&amp;Schedule!W154&amp;CHAR(9)&amp;Schedule!X154&amp;CHAR(9)&amp;Schedule!Y154,"")</f>
        <v/>
      </c>
    </row>
    <row r="158" customFormat="false" ht="15" hidden="false" customHeight="false" outlineLevel="0" collapsed="false">
      <c r="B158" s="59" t="str">
        <f aca="false">IF(Calculations!A155,Schedule!M155&amp;CHAR(9)&amp;Schedule!N155&amp;CHAR(9)&amp;Schedule!O155&amp;CHAR(9)&amp;Schedule!P155&amp;CHAR(9)&amp;Schedule!Q155&amp;CHAR(9)&amp;Schedule!R155&amp;CHAR(9)&amp;Schedule!S155&amp;CHAR(9)&amp;Schedule!T155&amp;CHAR(9)&amp;Schedule!U155&amp;CHAR(9)&amp;Schedule!V155&amp;CHAR(9)&amp;Schedule!W155&amp;CHAR(9)&amp;Schedule!X155&amp;CHAR(9)&amp;Schedule!Y155,"")</f>
        <v/>
      </c>
    </row>
    <row r="159" customFormat="false" ht="15" hidden="false" customHeight="false" outlineLevel="0" collapsed="false">
      <c r="B159" s="59" t="str">
        <f aca="false">IF(Calculations!A156,Schedule!M156&amp;CHAR(9)&amp;Schedule!N156&amp;CHAR(9)&amp;Schedule!O156&amp;CHAR(9)&amp;Schedule!P156&amp;CHAR(9)&amp;Schedule!Q156&amp;CHAR(9)&amp;Schedule!R156&amp;CHAR(9)&amp;Schedule!S156&amp;CHAR(9)&amp;Schedule!T156&amp;CHAR(9)&amp;Schedule!U156&amp;CHAR(9)&amp;Schedule!V156&amp;CHAR(9)&amp;Schedule!W156&amp;CHAR(9)&amp;Schedule!X156&amp;CHAR(9)&amp;Schedule!Y156,"")</f>
        <v/>
      </c>
    </row>
    <row r="160" customFormat="false" ht="15" hidden="false" customHeight="false" outlineLevel="0" collapsed="false">
      <c r="B160" s="59" t="str">
        <f aca="false">IF(Calculations!A157,Schedule!M157&amp;CHAR(9)&amp;Schedule!N157&amp;CHAR(9)&amp;Schedule!O157&amp;CHAR(9)&amp;Schedule!P157&amp;CHAR(9)&amp;Schedule!Q157&amp;CHAR(9)&amp;Schedule!R157&amp;CHAR(9)&amp;Schedule!S157&amp;CHAR(9)&amp;Schedule!T157&amp;CHAR(9)&amp;Schedule!U157&amp;CHAR(9)&amp;Schedule!V157&amp;CHAR(9)&amp;Schedule!W157&amp;CHAR(9)&amp;Schedule!X157&amp;CHAR(9)&amp;Schedule!Y157,"")</f>
        <v/>
      </c>
    </row>
    <row r="161" customFormat="false" ht="15" hidden="false" customHeight="false" outlineLevel="0" collapsed="false">
      <c r="B161" s="59" t="str">
        <f aca="false">IF(Calculations!A158,Schedule!M158&amp;CHAR(9)&amp;Schedule!N158&amp;CHAR(9)&amp;Schedule!O158&amp;CHAR(9)&amp;Schedule!P158&amp;CHAR(9)&amp;Schedule!Q158&amp;CHAR(9)&amp;Schedule!R158&amp;CHAR(9)&amp;Schedule!S158&amp;CHAR(9)&amp;Schedule!T158&amp;CHAR(9)&amp;Schedule!U158&amp;CHAR(9)&amp;Schedule!V158&amp;CHAR(9)&amp;Schedule!W158&amp;CHAR(9)&amp;Schedule!X158&amp;CHAR(9)&amp;Schedule!Y158,"")</f>
        <v/>
      </c>
    </row>
    <row r="162" customFormat="false" ht="15" hidden="false" customHeight="false" outlineLevel="0" collapsed="false">
      <c r="B162" s="59" t="str">
        <f aca="false">IF(Calculations!A159,Schedule!M159&amp;CHAR(9)&amp;Schedule!N159&amp;CHAR(9)&amp;Schedule!O159&amp;CHAR(9)&amp;Schedule!P159&amp;CHAR(9)&amp;Schedule!Q159&amp;CHAR(9)&amp;Schedule!R159&amp;CHAR(9)&amp;Schedule!S159&amp;CHAR(9)&amp;Schedule!T159&amp;CHAR(9)&amp;Schedule!U159&amp;CHAR(9)&amp;Schedule!V159&amp;CHAR(9)&amp;Schedule!W159&amp;CHAR(9)&amp;Schedule!X159&amp;CHAR(9)&amp;Schedule!Y159,"")</f>
        <v/>
      </c>
    </row>
    <row r="163" customFormat="false" ht="15" hidden="false" customHeight="false" outlineLevel="0" collapsed="false">
      <c r="B163" s="59" t="str">
        <f aca="false">IF(Calculations!A160,Schedule!M160&amp;CHAR(9)&amp;Schedule!N160&amp;CHAR(9)&amp;Schedule!O160&amp;CHAR(9)&amp;Schedule!P160&amp;CHAR(9)&amp;Schedule!Q160&amp;CHAR(9)&amp;Schedule!R160&amp;CHAR(9)&amp;Schedule!S160&amp;CHAR(9)&amp;Schedule!T160&amp;CHAR(9)&amp;Schedule!U160&amp;CHAR(9)&amp;Schedule!V160&amp;CHAR(9)&amp;Schedule!W160&amp;CHAR(9)&amp;Schedule!X160&amp;CHAR(9)&amp;Schedule!Y160,"")</f>
        <v/>
      </c>
    </row>
    <row r="164" customFormat="false" ht="15" hidden="false" customHeight="false" outlineLevel="0" collapsed="false">
      <c r="B164" s="59" t="str">
        <f aca="false">IF(Calculations!A161,Schedule!M161&amp;CHAR(9)&amp;Schedule!N161&amp;CHAR(9)&amp;Schedule!O161&amp;CHAR(9)&amp;Schedule!P161&amp;CHAR(9)&amp;Schedule!Q161&amp;CHAR(9)&amp;Schedule!R161&amp;CHAR(9)&amp;Schedule!S161&amp;CHAR(9)&amp;Schedule!T161&amp;CHAR(9)&amp;Schedule!U161&amp;CHAR(9)&amp;Schedule!V161&amp;CHAR(9)&amp;Schedule!W161&amp;CHAR(9)&amp;Schedule!X161&amp;CHAR(9)&amp;Schedule!Y161,"")</f>
        <v/>
      </c>
    </row>
    <row r="165" customFormat="false" ht="15" hidden="false" customHeight="false" outlineLevel="0" collapsed="false">
      <c r="B165" s="59" t="str">
        <f aca="false">IF(Calculations!A162,Schedule!M162&amp;CHAR(9)&amp;Schedule!N162&amp;CHAR(9)&amp;Schedule!O162&amp;CHAR(9)&amp;Schedule!P162&amp;CHAR(9)&amp;Schedule!Q162&amp;CHAR(9)&amp;Schedule!R162&amp;CHAR(9)&amp;Schedule!S162&amp;CHAR(9)&amp;Schedule!T162&amp;CHAR(9)&amp;Schedule!U162&amp;CHAR(9)&amp;Schedule!V162&amp;CHAR(9)&amp;Schedule!W162&amp;CHAR(9)&amp;Schedule!X162&amp;CHAR(9)&amp;Schedule!Y162,"")</f>
        <v/>
      </c>
    </row>
    <row r="166" customFormat="false" ht="15" hidden="false" customHeight="false" outlineLevel="0" collapsed="false">
      <c r="B166" s="59" t="str">
        <f aca="false">IF(Calculations!A163,Schedule!M163&amp;CHAR(9)&amp;Schedule!N163&amp;CHAR(9)&amp;Schedule!O163&amp;CHAR(9)&amp;Schedule!P163&amp;CHAR(9)&amp;Schedule!Q163&amp;CHAR(9)&amp;Schedule!R163&amp;CHAR(9)&amp;Schedule!S163&amp;CHAR(9)&amp;Schedule!T163&amp;CHAR(9)&amp;Schedule!U163&amp;CHAR(9)&amp;Schedule!V163&amp;CHAR(9)&amp;Schedule!W163&amp;CHAR(9)&amp;Schedule!X163&amp;CHAR(9)&amp;Schedule!Y163,"")</f>
        <v/>
      </c>
    </row>
    <row r="167" customFormat="false" ht="15" hidden="false" customHeight="false" outlineLevel="0" collapsed="false">
      <c r="B167" s="59" t="str">
        <f aca="false">IF(Calculations!A164,Schedule!M164&amp;CHAR(9)&amp;Schedule!N164&amp;CHAR(9)&amp;Schedule!O164&amp;CHAR(9)&amp;Schedule!P164&amp;CHAR(9)&amp;Schedule!Q164&amp;CHAR(9)&amp;Schedule!R164&amp;CHAR(9)&amp;Schedule!S164&amp;CHAR(9)&amp;Schedule!T164&amp;CHAR(9)&amp;Schedule!U164&amp;CHAR(9)&amp;Schedule!V164&amp;CHAR(9)&amp;Schedule!W164&amp;CHAR(9)&amp;Schedule!X164&amp;CHAR(9)&amp;Schedule!Y164,"")</f>
        <v/>
      </c>
    </row>
    <row r="168" customFormat="false" ht="15" hidden="false" customHeight="false" outlineLevel="0" collapsed="false">
      <c r="B168" s="59" t="str">
        <f aca="false">IF(Calculations!A165,Schedule!M165&amp;CHAR(9)&amp;Schedule!N165&amp;CHAR(9)&amp;Schedule!O165&amp;CHAR(9)&amp;Schedule!P165&amp;CHAR(9)&amp;Schedule!Q165&amp;CHAR(9)&amp;Schedule!R165&amp;CHAR(9)&amp;Schedule!S165&amp;CHAR(9)&amp;Schedule!T165&amp;CHAR(9)&amp;Schedule!U165&amp;CHAR(9)&amp;Schedule!V165&amp;CHAR(9)&amp;Schedule!W165&amp;CHAR(9)&amp;Schedule!X165&amp;CHAR(9)&amp;Schedule!Y165,"")</f>
        <v/>
      </c>
    </row>
    <row r="169" customFormat="false" ht="15" hidden="false" customHeight="false" outlineLevel="0" collapsed="false">
      <c r="B169" s="59" t="str">
        <f aca="false">IF(Calculations!A166,Schedule!M166&amp;CHAR(9)&amp;Schedule!N166&amp;CHAR(9)&amp;Schedule!O166&amp;CHAR(9)&amp;Schedule!P166&amp;CHAR(9)&amp;Schedule!Q166&amp;CHAR(9)&amp;Schedule!R166&amp;CHAR(9)&amp;Schedule!S166&amp;CHAR(9)&amp;Schedule!T166&amp;CHAR(9)&amp;Schedule!U166&amp;CHAR(9)&amp;Schedule!V166&amp;CHAR(9)&amp;Schedule!W166&amp;CHAR(9)&amp;Schedule!X166&amp;CHAR(9)&amp;Schedule!Y166,"")</f>
        <v/>
      </c>
    </row>
    <row r="170" customFormat="false" ht="15" hidden="false" customHeight="false" outlineLevel="0" collapsed="false">
      <c r="B170" s="59" t="str">
        <f aca="false">IF(Calculations!A167,Schedule!M167&amp;CHAR(9)&amp;Schedule!N167&amp;CHAR(9)&amp;Schedule!O167&amp;CHAR(9)&amp;Schedule!P167&amp;CHAR(9)&amp;Schedule!Q167&amp;CHAR(9)&amp;Schedule!R167&amp;CHAR(9)&amp;Schedule!S167&amp;CHAR(9)&amp;Schedule!T167&amp;CHAR(9)&amp;Schedule!U167&amp;CHAR(9)&amp;Schedule!V167&amp;CHAR(9)&amp;Schedule!W167&amp;CHAR(9)&amp;Schedule!X167&amp;CHAR(9)&amp;Schedule!Y167,"")</f>
        <v/>
      </c>
    </row>
    <row r="171" customFormat="false" ht="15" hidden="false" customHeight="false" outlineLevel="0" collapsed="false">
      <c r="B171" s="59" t="str">
        <f aca="false">IF(Calculations!A168,Schedule!M168&amp;CHAR(9)&amp;Schedule!N168&amp;CHAR(9)&amp;Schedule!O168&amp;CHAR(9)&amp;Schedule!P168&amp;CHAR(9)&amp;Schedule!Q168&amp;CHAR(9)&amp;Schedule!R168&amp;CHAR(9)&amp;Schedule!S168&amp;CHAR(9)&amp;Schedule!T168&amp;CHAR(9)&amp;Schedule!U168&amp;CHAR(9)&amp;Schedule!V168&amp;CHAR(9)&amp;Schedule!W168&amp;CHAR(9)&amp;Schedule!X168&amp;CHAR(9)&amp;Schedule!Y168,"")</f>
        <v/>
      </c>
    </row>
    <row r="172" customFormat="false" ht="15" hidden="false" customHeight="false" outlineLevel="0" collapsed="false">
      <c r="B172" s="59" t="str">
        <f aca="false">IF(Calculations!A169,Schedule!M169&amp;CHAR(9)&amp;Schedule!N169&amp;CHAR(9)&amp;Schedule!O169&amp;CHAR(9)&amp;Schedule!P169&amp;CHAR(9)&amp;Schedule!Q169&amp;CHAR(9)&amp;Schedule!R169&amp;CHAR(9)&amp;Schedule!S169&amp;CHAR(9)&amp;Schedule!T169&amp;CHAR(9)&amp;Schedule!U169&amp;CHAR(9)&amp;Schedule!V169&amp;CHAR(9)&amp;Schedule!W169&amp;CHAR(9)&amp;Schedule!X169&amp;CHAR(9)&amp;Schedule!Y169,"")</f>
        <v/>
      </c>
    </row>
    <row r="173" customFormat="false" ht="15" hidden="false" customHeight="false" outlineLevel="0" collapsed="false">
      <c r="B173" s="59" t="str">
        <f aca="false">IF(Calculations!A170,Schedule!M170&amp;CHAR(9)&amp;Schedule!N170&amp;CHAR(9)&amp;Schedule!O170&amp;CHAR(9)&amp;Schedule!P170&amp;CHAR(9)&amp;Schedule!Q170&amp;CHAR(9)&amp;Schedule!R170&amp;CHAR(9)&amp;Schedule!S170&amp;CHAR(9)&amp;Schedule!T170&amp;CHAR(9)&amp;Schedule!U170&amp;CHAR(9)&amp;Schedule!V170&amp;CHAR(9)&amp;Schedule!W170&amp;CHAR(9)&amp;Schedule!X170&amp;CHAR(9)&amp;Schedule!Y170,"")</f>
        <v/>
      </c>
    </row>
    <row r="174" customFormat="false" ht="15" hidden="false" customHeight="false" outlineLevel="0" collapsed="false">
      <c r="B174" s="59" t="str">
        <f aca="false">IF(Calculations!A171,Schedule!M171&amp;CHAR(9)&amp;Schedule!N171&amp;CHAR(9)&amp;Schedule!O171&amp;CHAR(9)&amp;Schedule!P171&amp;CHAR(9)&amp;Schedule!Q171&amp;CHAR(9)&amp;Schedule!R171&amp;CHAR(9)&amp;Schedule!S171&amp;CHAR(9)&amp;Schedule!T171&amp;CHAR(9)&amp;Schedule!U171&amp;CHAR(9)&amp;Schedule!V171&amp;CHAR(9)&amp;Schedule!W171&amp;CHAR(9)&amp;Schedule!X171&amp;CHAR(9)&amp;Schedule!Y171,"")</f>
        <v/>
      </c>
    </row>
    <row r="175" customFormat="false" ht="15" hidden="false" customHeight="false" outlineLevel="0" collapsed="false">
      <c r="B175" s="59" t="str">
        <f aca="false">IF(Calculations!A172,Schedule!M172&amp;CHAR(9)&amp;Schedule!N172&amp;CHAR(9)&amp;Schedule!O172&amp;CHAR(9)&amp;Schedule!P172&amp;CHAR(9)&amp;Schedule!Q172&amp;CHAR(9)&amp;Schedule!R172&amp;CHAR(9)&amp;Schedule!S172&amp;CHAR(9)&amp;Schedule!T172&amp;CHAR(9)&amp;Schedule!U172&amp;CHAR(9)&amp;Schedule!V172&amp;CHAR(9)&amp;Schedule!W172&amp;CHAR(9)&amp;Schedule!X172&amp;CHAR(9)&amp;Schedule!Y172,"")</f>
        <v/>
      </c>
    </row>
    <row r="176" customFormat="false" ht="15" hidden="false" customHeight="false" outlineLevel="0" collapsed="false">
      <c r="B176" s="59" t="str">
        <f aca="false">IF(Calculations!A173,Schedule!M173&amp;CHAR(9)&amp;Schedule!N173&amp;CHAR(9)&amp;Schedule!O173&amp;CHAR(9)&amp;Schedule!P173&amp;CHAR(9)&amp;Schedule!Q173&amp;CHAR(9)&amp;Schedule!R173&amp;CHAR(9)&amp;Schedule!S173&amp;CHAR(9)&amp;Schedule!T173&amp;CHAR(9)&amp;Schedule!U173&amp;CHAR(9)&amp;Schedule!V173&amp;CHAR(9)&amp;Schedule!W173&amp;CHAR(9)&amp;Schedule!X173&amp;CHAR(9)&amp;Schedule!Y173,"")</f>
        <v/>
      </c>
    </row>
    <row r="177" customFormat="false" ht="15" hidden="false" customHeight="false" outlineLevel="0" collapsed="false">
      <c r="B177" s="59" t="str">
        <f aca="false">IF(Calculations!A174,Schedule!M174&amp;CHAR(9)&amp;Schedule!N174&amp;CHAR(9)&amp;Schedule!O174&amp;CHAR(9)&amp;Schedule!P174&amp;CHAR(9)&amp;Schedule!Q174&amp;CHAR(9)&amp;Schedule!R174&amp;CHAR(9)&amp;Schedule!S174&amp;CHAR(9)&amp;Schedule!T174&amp;CHAR(9)&amp;Schedule!U174&amp;CHAR(9)&amp;Schedule!V174&amp;CHAR(9)&amp;Schedule!W174&amp;CHAR(9)&amp;Schedule!X174&amp;CHAR(9)&amp;Schedule!Y174,"")</f>
        <v/>
      </c>
    </row>
    <row r="178" customFormat="false" ht="15" hidden="false" customHeight="false" outlineLevel="0" collapsed="false">
      <c r="B178" s="59" t="str">
        <f aca="false">IF(Calculations!A175,Schedule!M175&amp;CHAR(9)&amp;Schedule!N175&amp;CHAR(9)&amp;Schedule!O175&amp;CHAR(9)&amp;Schedule!P175&amp;CHAR(9)&amp;Schedule!Q175&amp;CHAR(9)&amp;Schedule!R175&amp;CHAR(9)&amp;Schedule!S175&amp;CHAR(9)&amp;Schedule!T175&amp;CHAR(9)&amp;Schedule!U175&amp;CHAR(9)&amp;Schedule!V175&amp;CHAR(9)&amp;Schedule!W175&amp;CHAR(9)&amp;Schedule!X175&amp;CHAR(9)&amp;Schedule!Y175,"")</f>
        <v/>
      </c>
    </row>
    <row r="179" customFormat="false" ht="15" hidden="false" customHeight="false" outlineLevel="0" collapsed="false">
      <c r="B179" s="59" t="str">
        <f aca="false">IF(Calculations!A176,Schedule!M176&amp;CHAR(9)&amp;Schedule!N176&amp;CHAR(9)&amp;Schedule!O176&amp;CHAR(9)&amp;Schedule!P176&amp;CHAR(9)&amp;Schedule!Q176&amp;CHAR(9)&amp;Schedule!R176&amp;CHAR(9)&amp;Schedule!S176&amp;CHAR(9)&amp;Schedule!T176&amp;CHAR(9)&amp;Schedule!U176&amp;CHAR(9)&amp;Schedule!V176&amp;CHAR(9)&amp;Schedule!W176&amp;CHAR(9)&amp;Schedule!X176&amp;CHAR(9)&amp;Schedule!Y176,"")</f>
        <v/>
      </c>
    </row>
    <row r="180" customFormat="false" ht="15" hidden="false" customHeight="false" outlineLevel="0" collapsed="false">
      <c r="B180" s="59" t="str">
        <f aca="false">IF(Calculations!A177,Schedule!M177&amp;CHAR(9)&amp;Schedule!N177&amp;CHAR(9)&amp;Schedule!O177&amp;CHAR(9)&amp;Schedule!P177&amp;CHAR(9)&amp;Schedule!Q177&amp;CHAR(9)&amp;Schedule!R177&amp;CHAR(9)&amp;Schedule!S177&amp;CHAR(9)&amp;Schedule!T177&amp;CHAR(9)&amp;Schedule!U177&amp;CHAR(9)&amp;Schedule!V177&amp;CHAR(9)&amp;Schedule!W177&amp;CHAR(9)&amp;Schedule!X177&amp;CHAR(9)&amp;Schedule!Y177,"")</f>
        <v/>
      </c>
    </row>
    <row r="181" customFormat="false" ht="15" hidden="false" customHeight="false" outlineLevel="0" collapsed="false">
      <c r="B181" s="59" t="str">
        <f aca="false">IF(Calculations!A178,Schedule!M178&amp;CHAR(9)&amp;Schedule!N178&amp;CHAR(9)&amp;Schedule!O178&amp;CHAR(9)&amp;Schedule!P178&amp;CHAR(9)&amp;Schedule!Q178&amp;CHAR(9)&amp;Schedule!R178&amp;CHAR(9)&amp;Schedule!S178&amp;CHAR(9)&amp;Schedule!T178&amp;CHAR(9)&amp;Schedule!U178&amp;CHAR(9)&amp;Schedule!V178&amp;CHAR(9)&amp;Schedule!W178&amp;CHAR(9)&amp;Schedule!X178&amp;CHAR(9)&amp;Schedule!Y178,"")</f>
        <v/>
      </c>
    </row>
    <row r="182" customFormat="false" ht="15" hidden="false" customHeight="false" outlineLevel="0" collapsed="false">
      <c r="B182" s="59" t="str">
        <f aca="false">IF(Calculations!A179,Schedule!M179&amp;CHAR(9)&amp;Schedule!N179&amp;CHAR(9)&amp;Schedule!O179&amp;CHAR(9)&amp;Schedule!P179&amp;CHAR(9)&amp;Schedule!Q179&amp;CHAR(9)&amp;Schedule!R179&amp;CHAR(9)&amp;Schedule!S179&amp;CHAR(9)&amp;Schedule!T179&amp;CHAR(9)&amp;Schedule!U179&amp;CHAR(9)&amp;Schedule!V179&amp;CHAR(9)&amp;Schedule!W179&amp;CHAR(9)&amp;Schedule!X179&amp;CHAR(9)&amp;Schedule!Y179,"")</f>
        <v/>
      </c>
    </row>
    <row r="183" customFormat="false" ht="15" hidden="false" customHeight="false" outlineLevel="0" collapsed="false">
      <c r="B183" s="59" t="str">
        <f aca="false">IF(Calculations!A180,Schedule!M180&amp;CHAR(9)&amp;Schedule!N180&amp;CHAR(9)&amp;Schedule!O180&amp;CHAR(9)&amp;Schedule!P180&amp;CHAR(9)&amp;Schedule!Q180&amp;CHAR(9)&amp;Schedule!R180&amp;CHAR(9)&amp;Schedule!S180&amp;CHAR(9)&amp;Schedule!T180&amp;CHAR(9)&amp;Schedule!U180&amp;CHAR(9)&amp;Schedule!V180&amp;CHAR(9)&amp;Schedule!W180&amp;CHAR(9)&amp;Schedule!X180&amp;CHAR(9)&amp;Schedule!Y180,"")</f>
        <v/>
      </c>
    </row>
    <row r="184" customFormat="false" ht="15" hidden="false" customHeight="false" outlineLevel="0" collapsed="false">
      <c r="B184" s="59" t="str">
        <f aca="false">IF(Calculations!A181,Schedule!M181&amp;CHAR(9)&amp;Schedule!N181&amp;CHAR(9)&amp;Schedule!O181&amp;CHAR(9)&amp;Schedule!P181&amp;CHAR(9)&amp;Schedule!Q181&amp;CHAR(9)&amp;Schedule!R181&amp;CHAR(9)&amp;Schedule!S181&amp;CHAR(9)&amp;Schedule!T181&amp;CHAR(9)&amp;Schedule!U181&amp;CHAR(9)&amp;Schedule!V181&amp;CHAR(9)&amp;Schedule!W181&amp;CHAR(9)&amp;Schedule!X181&amp;CHAR(9)&amp;Schedule!Y181,"")</f>
        <v/>
      </c>
    </row>
    <row r="185" customFormat="false" ht="15" hidden="false" customHeight="false" outlineLevel="0" collapsed="false">
      <c r="B185" s="59" t="str">
        <f aca="false">IF(Calculations!A182,Schedule!M182&amp;CHAR(9)&amp;Schedule!N182&amp;CHAR(9)&amp;Schedule!O182&amp;CHAR(9)&amp;Schedule!P182&amp;CHAR(9)&amp;Schedule!Q182&amp;CHAR(9)&amp;Schedule!R182&amp;CHAR(9)&amp;Schedule!S182&amp;CHAR(9)&amp;Schedule!T182&amp;CHAR(9)&amp;Schedule!U182&amp;CHAR(9)&amp;Schedule!V182&amp;CHAR(9)&amp;Schedule!W182&amp;CHAR(9)&amp;Schedule!X182&amp;CHAR(9)&amp;Schedule!Y182,"")</f>
        <v/>
      </c>
    </row>
    <row r="186" customFormat="false" ht="15" hidden="false" customHeight="false" outlineLevel="0" collapsed="false">
      <c r="B186" s="59" t="str">
        <f aca="false">IF(Calculations!A183,Schedule!M183&amp;CHAR(9)&amp;Schedule!N183&amp;CHAR(9)&amp;Schedule!O183&amp;CHAR(9)&amp;Schedule!P183&amp;CHAR(9)&amp;Schedule!Q183&amp;CHAR(9)&amp;Schedule!R183&amp;CHAR(9)&amp;Schedule!S183&amp;CHAR(9)&amp;Schedule!T183&amp;CHAR(9)&amp;Schedule!U183&amp;CHAR(9)&amp;Schedule!V183&amp;CHAR(9)&amp;Schedule!W183&amp;CHAR(9)&amp;Schedule!X183&amp;CHAR(9)&amp;Schedule!Y183,"")</f>
        <v/>
      </c>
    </row>
    <row r="187" customFormat="false" ht="15" hidden="false" customHeight="false" outlineLevel="0" collapsed="false">
      <c r="B187" s="59" t="str">
        <f aca="false">IF(Calculations!A184,Schedule!M184&amp;CHAR(9)&amp;Schedule!N184&amp;CHAR(9)&amp;Schedule!O184&amp;CHAR(9)&amp;Schedule!P184&amp;CHAR(9)&amp;Schedule!Q184&amp;CHAR(9)&amp;Schedule!R184&amp;CHAR(9)&amp;Schedule!S184&amp;CHAR(9)&amp;Schedule!T184&amp;CHAR(9)&amp;Schedule!U184&amp;CHAR(9)&amp;Schedule!V184&amp;CHAR(9)&amp;Schedule!W184&amp;CHAR(9)&amp;Schedule!X184&amp;CHAR(9)&amp;Schedule!Y184,"")</f>
        <v/>
      </c>
    </row>
    <row r="188" customFormat="false" ht="15" hidden="false" customHeight="false" outlineLevel="0" collapsed="false">
      <c r="B188" s="59" t="str">
        <f aca="false">IF(Calculations!A185,Schedule!M185&amp;CHAR(9)&amp;Schedule!N185&amp;CHAR(9)&amp;Schedule!O185&amp;CHAR(9)&amp;Schedule!P185&amp;CHAR(9)&amp;Schedule!Q185&amp;CHAR(9)&amp;Schedule!R185&amp;CHAR(9)&amp;Schedule!S185&amp;CHAR(9)&amp;Schedule!T185&amp;CHAR(9)&amp;Schedule!U185&amp;CHAR(9)&amp;Schedule!V185&amp;CHAR(9)&amp;Schedule!W185&amp;CHAR(9)&amp;Schedule!X185&amp;CHAR(9)&amp;Schedule!Y185,"")</f>
        <v/>
      </c>
    </row>
    <row r="189" customFormat="false" ht="15" hidden="false" customHeight="false" outlineLevel="0" collapsed="false">
      <c r="B189" s="59" t="str">
        <f aca="false">IF(Calculations!A186,Schedule!M186&amp;CHAR(9)&amp;Schedule!N186&amp;CHAR(9)&amp;Schedule!O186&amp;CHAR(9)&amp;Schedule!P186&amp;CHAR(9)&amp;Schedule!Q186&amp;CHAR(9)&amp;Schedule!R186&amp;CHAR(9)&amp;Schedule!S186&amp;CHAR(9)&amp;Schedule!T186&amp;CHAR(9)&amp;Schedule!U186&amp;CHAR(9)&amp;Schedule!V186&amp;CHAR(9)&amp;Schedule!W186&amp;CHAR(9)&amp;Schedule!X186&amp;CHAR(9)&amp;Schedule!Y186,"")</f>
        <v/>
      </c>
    </row>
    <row r="190" customFormat="false" ht="15" hidden="false" customHeight="false" outlineLevel="0" collapsed="false">
      <c r="B190" s="59" t="str">
        <f aca="false">IF(Calculations!A187,Schedule!M187&amp;CHAR(9)&amp;Schedule!N187&amp;CHAR(9)&amp;Schedule!O187&amp;CHAR(9)&amp;Schedule!P187&amp;CHAR(9)&amp;Schedule!Q187&amp;CHAR(9)&amp;Schedule!R187&amp;CHAR(9)&amp;Schedule!S187&amp;CHAR(9)&amp;Schedule!T187&amp;CHAR(9)&amp;Schedule!U187&amp;CHAR(9)&amp;Schedule!V187&amp;CHAR(9)&amp;Schedule!W187&amp;CHAR(9)&amp;Schedule!X187&amp;CHAR(9)&amp;Schedule!Y187,"")</f>
        <v/>
      </c>
    </row>
    <row r="191" customFormat="false" ht="15" hidden="false" customHeight="false" outlineLevel="0" collapsed="false">
      <c r="B191" s="59" t="str">
        <f aca="false">IF(Calculations!A188,Schedule!M188&amp;CHAR(9)&amp;Schedule!N188&amp;CHAR(9)&amp;Schedule!O188&amp;CHAR(9)&amp;Schedule!P188&amp;CHAR(9)&amp;Schedule!Q188&amp;CHAR(9)&amp;Schedule!R188&amp;CHAR(9)&amp;Schedule!S188&amp;CHAR(9)&amp;Schedule!T188&amp;CHAR(9)&amp;Schedule!U188&amp;CHAR(9)&amp;Schedule!V188&amp;CHAR(9)&amp;Schedule!W188&amp;CHAR(9)&amp;Schedule!X188&amp;CHAR(9)&amp;Schedule!Y188,"")</f>
        <v/>
      </c>
    </row>
    <row r="192" customFormat="false" ht="15" hidden="false" customHeight="false" outlineLevel="0" collapsed="false">
      <c r="B192" s="59" t="str">
        <f aca="false">IF(Calculations!A189,Schedule!M189&amp;CHAR(9)&amp;Schedule!N189&amp;CHAR(9)&amp;Schedule!O189&amp;CHAR(9)&amp;Schedule!P189&amp;CHAR(9)&amp;Schedule!Q189&amp;CHAR(9)&amp;Schedule!R189&amp;CHAR(9)&amp;Schedule!S189&amp;CHAR(9)&amp;Schedule!T189&amp;CHAR(9)&amp;Schedule!U189&amp;CHAR(9)&amp;Schedule!V189&amp;CHAR(9)&amp;Schedule!W189&amp;CHAR(9)&amp;Schedule!X189&amp;CHAR(9)&amp;Schedule!Y189,"")</f>
        <v/>
      </c>
    </row>
    <row r="193" customFormat="false" ht="15" hidden="false" customHeight="false" outlineLevel="0" collapsed="false">
      <c r="B193" s="59" t="str">
        <f aca="false">IF(Calculations!A190,Schedule!M190&amp;CHAR(9)&amp;Schedule!N190&amp;CHAR(9)&amp;Schedule!O190&amp;CHAR(9)&amp;Schedule!P190&amp;CHAR(9)&amp;Schedule!Q190&amp;CHAR(9)&amp;Schedule!R190&amp;CHAR(9)&amp;Schedule!S190&amp;CHAR(9)&amp;Schedule!T190&amp;CHAR(9)&amp;Schedule!U190&amp;CHAR(9)&amp;Schedule!V190&amp;CHAR(9)&amp;Schedule!W190&amp;CHAR(9)&amp;Schedule!X190&amp;CHAR(9)&amp;Schedule!Y190,"")</f>
        <v/>
      </c>
    </row>
    <row r="194" customFormat="false" ht="15" hidden="false" customHeight="false" outlineLevel="0" collapsed="false">
      <c r="B194" s="59" t="str">
        <f aca="false">IF(Calculations!A191,Schedule!M191&amp;CHAR(9)&amp;Schedule!N191&amp;CHAR(9)&amp;Schedule!O191&amp;CHAR(9)&amp;Schedule!P191&amp;CHAR(9)&amp;Schedule!Q191&amp;CHAR(9)&amp;Schedule!R191&amp;CHAR(9)&amp;Schedule!S191&amp;CHAR(9)&amp;Schedule!T191&amp;CHAR(9)&amp;Schedule!U191&amp;CHAR(9)&amp;Schedule!V191&amp;CHAR(9)&amp;Schedule!W191&amp;CHAR(9)&amp;Schedule!X191&amp;CHAR(9)&amp;Schedule!Y191,"")</f>
        <v/>
      </c>
    </row>
    <row r="195" customFormat="false" ht="15" hidden="false" customHeight="false" outlineLevel="0" collapsed="false">
      <c r="B195" s="59" t="str">
        <f aca="false">IF(Calculations!A192,Schedule!M192&amp;CHAR(9)&amp;Schedule!N192&amp;CHAR(9)&amp;Schedule!O192&amp;CHAR(9)&amp;Schedule!P192&amp;CHAR(9)&amp;Schedule!Q192&amp;CHAR(9)&amp;Schedule!R192&amp;CHAR(9)&amp;Schedule!S192&amp;CHAR(9)&amp;Schedule!T192&amp;CHAR(9)&amp;Schedule!U192&amp;CHAR(9)&amp;Schedule!V192&amp;CHAR(9)&amp;Schedule!W192&amp;CHAR(9)&amp;Schedule!X192&amp;CHAR(9)&amp;Schedule!Y192,"")</f>
        <v/>
      </c>
    </row>
    <row r="196" customFormat="false" ht="15" hidden="false" customHeight="false" outlineLevel="0" collapsed="false">
      <c r="B196" s="59" t="str">
        <f aca="false">IF(Calculations!A193,Schedule!M193&amp;CHAR(9)&amp;Schedule!N193&amp;CHAR(9)&amp;Schedule!O193&amp;CHAR(9)&amp;Schedule!P193&amp;CHAR(9)&amp;Schedule!Q193&amp;CHAR(9)&amp;Schedule!R193&amp;CHAR(9)&amp;Schedule!S193&amp;CHAR(9)&amp;Schedule!T193&amp;CHAR(9)&amp;Schedule!U193&amp;CHAR(9)&amp;Schedule!V193&amp;CHAR(9)&amp;Schedule!W193&amp;CHAR(9)&amp;Schedule!X193&amp;CHAR(9)&amp;Schedule!Y193,"")</f>
        <v/>
      </c>
    </row>
    <row r="197" customFormat="false" ht="15" hidden="false" customHeight="false" outlineLevel="0" collapsed="false">
      <c r="B197" s="59" t="str">
        <f aca="false">IF(Calculations!A194,Schedule!M194&amp;CHAR(9)&amp;Schedule!N194&amp;CHAR(9)&amp;Schedule!O194&amp;CHAR(9)&amp;Schedule!P194&amp;CHAR(9)&amp;Schedule!Q194&amp;CHAR(9)&amp;Schedule!R194&amp;CHAR(9)&amp;Schedule!S194&amp;CHAR(9)&amp;Schedule!T194&amp;CHAR(9)&amp;Schedule!U194&amp;CHAR(9)&amp;Schedule!V194&amp;CHAR(9)&amp;Schedule!W194&amp;CHAR(9)&amp;Schedule!X194&amp;CHAR(9)&amp;Schedule!Y194,"")</f>
        <v/>
      </c>
    </row>
    <row r="198" customFormat="false" ht="15" hidden="false" customHeight="false" outlineLevel="0" collapsed="false">
      <c r="B198" s="59" t="str">
        <f aca="false">IF(Calculations!A195,Schedule!M195&amp;CHAR(9)&amp;Schedule!N195&amp;CHAR(9)&amp;Schedule!O195&amp;CHAR(9)&amp;Schedule!P195&amp;CHAR(9)&amp;Schedule!Q195&amp;CHAR(9)&amp;Schedule!R195&amp;CHAR(9)&amp;Schedule!S195&amp;CHAR(9)&amp;Schedule!T195&amp;CHAR(9)&amp;Schedule!U195&amp;CHAR(9)&amp;Schedule!V195&amp;CHAR(9)&amp;Schedule!W195&amp;CHAR(9)&amp;Schedule!X195&amp;CHAR(9)&amp;Schedule!Y195,"")</f>
        <v/>
      </c>
    </row>
    <row r="199" customFormat="false" ht="15" hidden="false" customHeight="false" outlineLevel="0" collapsed="false">
      <c r="B199" s="59" t="str">
        <f aca="false">IF(Calculations!A196,Schedule!M196&amp;CHAR(9)&amp;Schedule!N196&amp;CHAR(9)&amp;Schedule!O196&amp;CHAR(9)&amp;Schedule!P196&amp;CHAR(9)&amp;Schedule!Q196&amp;CHAR(9)&amp;Schedule!R196&amp;CHAR(9)&amp;Schedule!S196&amp;CHAR(9)&amp;Schedule!T196&amp;CHAR(9)&amp;Schedule!U196&amp;CHAR(9)&amp;Schedule!V196&amp;CHAR(9)&amp;Schedule!W196&amp;CHAR(9)&amp;Schedule!X196&amp;CHAR(9)&amp;Schedule!Y196,"")</f>
        <v/>
      </c>
    </row>
    <row r="200" customFormat="false" ht="15" hidden="false" customHeight="false" outlineLevel="0" collapsed="false">
      <c r="B200" s="59" t="str">
        <f aca="false">IF(Calculations!A197,Schedule!M197&amp;CHAR(9)&amp;Schedule!N197&amp;CHAR(9)&amp;Schedule!O197&amp;CHAR(9)&amp;Schedule!P197&amp;CHAR(9)&amp;Schedule!Q197&amp;CHAR(9)&amp;Schedule!R197&amp;CHAR(9)&amp;Schedule!S197&amp;CHAR(9)&amp;Schedule!T197&amp;CHAR(9)&amp;Schedule!U197&amp;CHAR(9)&amp;Schedule!V197&amp;CHAR(9)&amp;Schedule!W197&amp;CHAR(9)&amp;Schedule!X197&amp;CHAR(9)&amp;Schedule!Y197,"")</f>
        <v/>
      </c>
    </row>
    <row r="201" customFormat="false" ht="15" hidden="false" customHeight="false" outlineLevel="0" collapsed="false">
      <c r="B201" s="59" t="str">
        <f aca="false">IF(Calculations!A198,Schedule!M198&amp;CHAR(9)&amp;Schedule!N198&amp;CHAR(9)&amp;Schedule!O198&amp;CHAR(9)&amp;Schedule!P198&amp;CHAR(9)&amp;Schedule!Q198&amp;CHAR(9)&amp;Schedule!R198&amp;CHAR(9)&amp;Schedule!S198&amp;CHAR(9)&amp;Schedule!T198&amp;CHAR(9)&amp;Schedule!U198&amp;CHAR(9)&amp;Schedule!V198&amp;CHAR(9)&amp;Schedule!W198&amp;CHAR(9)&amp;Schedule!X198&amp;CHAR(9)&amp;Schedule!Y198,"")</f>
        <v/>
      </c>
    </row>
    <row r="202" customFormat="false" ht="15" hidden="false" customHeight="false" outlineLevel="0" collapsed="false">
      <c r="B202" s="59" t="str">
        <f aca="false">IF(Calculations!A199,Schedule!M199&amp;CHAR(9)&amp;Schedule!N199&amp;CHAR(9)&amp;Schedule!O199&amp;CHAR(9)&amp;Schedule!P199&amp;CHAR(9)&amp;Schedule!Q199&amp;CHAR(9)&amp;Schedule!R199&amp;CHAR(9)&amp;Schedule!S199&amp;CHAR(9)&amp;Schedule!T199&amp;CHAR(9)&amp;Schedule!U199&amp;CHAR(9)&amp;Schedule!V199&amp;CHAR(9)&amp;Schedule!W199&amp;CHAR(9)&amp;Schedule!X199&amp;CHAR(9)&amp;Schedule!Y199,"")</f>
        <v/>
      </c>
    </row>
    <row r="203" customFormat="false" ht="15" hidden="false" customHeight="false" outlineLevel="0" collapsed="false">
      <c r="B203" s="59" t="str">
        <f aca="false">IF(Calculations!A200,Schedule!M200&amp;CHAR(9)&amp;Schedule!N200&amp;CHAR(9)&amp;Schedule!O200&amp;CHAR(9)&amp;Schedule!P200&amp;CHAR(9)&amp;Schedule!Q200&amp;CHAR(9)&amp;Schedule!R200&amp;CHAR(9)&amp;Schedule!S200&amp;CHAR(9)&amp;Schedule!T200&amp;CHAR(9)&amp;Schedule!U200&amp;CHAR(9)&amp;Schedule!V200&amp;CHAR(9)&amp;Schedule!W200&amp;CHAR(9)&amp;Schedule!X200&amp;CHAR(9)&amp;Schedule!Y200,"")</f>
        <v/>
      </c>
    </row>
    <row r="204" customFormat="false" ht="15" hidden="false" customHeight="false" outlineLevel="0" collapsed="false">
      <c r="B204" s="59" t="str">
        <f aca="false">IF(Calculations!A201,Schedule!M201&amp;CHAR(9)&amp;Schedule!N201&amp;CHAR(9)&amp;Schedule!O201&amp;CHAR(9)&amp;Schedule!P201&amp;CHAR(9)&amp;Schedule!Q201&amp;CHAR(9)&amp;Schedule!R201&amp;CHAR(9)&amp;Schedule!S201&amp;CHAR(9)&amp;Schedule!T201&amp;CHAR(9)&amp;Schedule!U201&amp;CHAR(9)&amp;Schedule!V201&amp;CHAR(9)&amp;Schedule!W201&amp;CHAR(9)&amp;Schedule!X201&amp;CHAR(9)&amp;Schedule!Y201,"")</f>
        <v/>
      </c>
    </row>
    <row r="205" customFormat="false" ht="15" hidden="false" customHeight="false" outlineLevel="0" collapsed="false">
      <c r="B205" s="59" t="str">
        <f aca="false">IF(Calculations!A202,Schedule!M202&amp;CHAR(9)&amp;Schedule!N202&amp;CHAR(9)&amp;Schedule!O202&amp;CHAR(9)&amp;Schedule!P202&amp;CHAR(9)&amp;Schedule!Q202&amp;CHAR(9)&amp;Schedule!R202&amp;CHAR(9)&amp;Schedule!S202&amp;CHAR(9)&amp;Schedule!T202&amp;CHAR(9)&amp;Schedule!U202&amp;CHAR(9)&amp;Schedule!V202&amp;CHAR(9)&amp;Schedule!W202&amp;CHAR(9)&amp;Schedule!X202&amp;CHAR(9)&amp;Schedule!Y202,"")</f>
        <v/>
      </c>
    </row>
    <row r="206" customFormat="false" ht="15" hidden="false" customHeight="false" outlineLevel="0" collapsed="false">
      <c r="B206" s="59" t="str">
        <f aca="false">IF(Calculations!A203,Schedule!M203&amp;CHAR(9)&amp;Schedule!N203&amp;CHAR(9)&amp;Schedule!O203&amp;CHAR(9)&amp;Schedule!P203&amp;CHAR(9)&amp;Schedule!Q203&amp;CHAR(9)&amp;Schedule!R203&amp;CHAR(9)&amp;Schedule!S203&amp;CHAR(9)&amp;Schedule!T203&amp;CHAR(9)&amp;Schedule!U203&amp;CHAR(9)&amp;Schedule!V203&amp;CHAR(9)&amp;Schedule!W203&amp;CHAR(9)&amp;Schedule!X203&amp;CHAR(9)&amp;Schedule!Y203,"")</f>
        <v/>
      </c>
    </row>
    <row r="207" customFormat="false" ht="15" hidden="false" customHeight="false" outlineLevel="0" collapsed="false">
      <c r="B207" s="59" t="str">
        <f aca="false">IF(Calculations!A204,Schedule!M204&amp;CHAR(9)&amp;Schedule!N204&amp;CHAR(9)&amp;Schedule!O204&amp;CHAR(9)&amp;Schedule!P204&amp;CHAR(9)&amp;Schedule!Q204&amp;CHAR(9)&amp;Schedule!R204&amp;CHAR(9)&amp;Schedule!S204&amp;CHAR(9)&amp;Schedule!T204&amp;CHAR(9)&amp;Schedule!U204&amp;CHAR(9)&amp;Schedule!V204&amp;CHAR(9)&amp;Schedule!W204&amp;CHAR(9)&amp;Schedule!X204&amp;CHAR(9)&amp;Schedule!Y204,"")</f>
        <v/>
      </c>
    </row>
    <row r="208" customFormat="false" ht="15" hidden="false" customHeight="false" outlineLevel="0" collapsed="false">
      <c r="B208" s="59" t="str">
        <f aca="false">IF(Calculations!A205,Schedule!M205&amp;CHAR(9)&amp;Schedule!N205&amp;CHAR(9)&amp;Schedule!O205&amp;CHAR(9)&amp;Schedule!P205&amp;CHAR(9)&amp;Schedule!Q205&amp;CHAR(9)&amp;Schedule!R205&amp;CHAR(9)&amp;Schedule!S205&amp;CHAR(9)&amp;Schedule!T205&amp;CHAR(9)&amp;Schedule!U205&amp;CHAR(9)&amp;Schedule!V205&amp;CHAR(9)&amp;Schedule!W205&amp;CHAR(9)&amp;Schedule!X205&amp;CHAR(9)&amp;Schedule!Y205,"")</f>
        <v/>
      </c>
    </row>
    <row r="209" customFormat="false" ht="15" hidden="false" customHeight="false" outlineLevel="0" collapsed="false">
      <c r="B209" s="59" t="str">
        <f aca="false">IF(Calculations!A206,Schedule!M206&amp;CHAR(9)&amp;Schedule!N206&amp;CHAR(9)&amp;Schedule!O206&amp;CHAR(9)&amp;Schedule!P206&amp;CHAR(9)&amp;Schedule!Q206&amp;CHAR(9)&amp;Schedule!R206&amp;CHAR(9)&amp;Schedule!S206&amp;CHAR(9)&amp;Schedule!T206&amp;CHAR(9)&amp;Schedule!U206&amp;CHAR(9)&amp;Schedule!V206&amp;CHAR(9)&amp;Schedule!W206&amp;CHAR(9)&amp;Schedule!X206&amp;CHAR(9)&amp;Schedule!Y206,"")</f>
        <v/>
      </c>
    </row>
    <row r="210" customFormat="false" ht="15" hidden="false" customHeight="false" outlineLevel="0" collapsed="false">
      <c r="B210" s="59" t="str">
        <f aca="false">IF(Calculations!A207,Schedule!M207&amp;CHAR(9)&amp;Schedule!N207&amp;CHAR(9)&amp;Schedule!O207&amp;CHAR(9)&amp;Schedule!P207&amp;CHAR(9)&amp;Schedule!Q207&amp;CHAR(9)&amp;Schedule!R207&amp;CHAR(9)&amp;Schedule!S207&amp;CHAR(9)&amp;Schedule!T207&amp;CHAR(9)&amp;Schedule!U207&amp;CHAR(9)&amp;Schedule!V207&amp;CHAR(9)&amp;Schedule!W207&amp;CHAR(9)&amp;Schedule!X207&amp;CHAR(9)&amp;Schedule!Y207,"")</f>
        <v/>
      </c>
    </row>
    <row r="211" customFormat="false" ht="15" hidden="false" customHeight="false" outlineLevel="0" collapsed="false">
      <c r="B211" s="59" t="str">
        <f aca="false">IF(Calculations!A208,Schedule!M208&amp;CHAR(9)&amp;Schedule!N208&amp;CHAR(9)&amp;Schedule!O208&amp;CHAR(9)&amp;Schedule!P208&amp;CHAR(9)&amp;Schedule!Q208&amp;CHAR(9)&amp;Schedule!R208&amp;CHAR(9)&amp;Schedule!S208&amp;CHAR(9)&amp;Schedule!T208&amp;CHAR(9)&amp;Schedule!U208&amp;CHAR(9)&amp;Schedule!V208&amp;CHAR(9)&amp;Schedule!W208&amp;CHAR(9)&amp;Schedule!X208&amp;CHAR(9)&amp;Schedule!Y208,"")</f>
        <v/>
      </c>
    </row>
    <row r="212" customFormat="false" ht="15" hidden="false" customHeight="false" outlineLevel="0" collapsed="false">
      <c r="B212" s="59" t="str">
        <f aca="false">IF(Calculations!A209,Schedule!M209&amp;CHAR(9)&amp;Schedule!N209&amp;CHAR(9)&amp;Schedule!O209&amp;CHAR(9)&amp;Schedule!P209&amp;CHAR(9)&amp;Schedule!Q209&amp;CHAR(9)&amp;Schedule!R209&amp;CHAR(9)&amp;Schedule!S209&amp;CHAR(9)&amp;Schedule!T209&amp;CHAR(9)&amp;Schedule!U209&amp;CHAR(9)&amp;Schedule!V209&amp;CHAR(9)&amp;Schedule!W209&amp;CHAR(9)&amp;Schedule!X209&amp;CHAR(9)&amp;Schedule!Y209,"")</f>
        <v/>
      </c>
    </row>
    <row r="213" customFormat="false" ht="15" hidden="false" customHeight="false" outlineLevel="0" collapsed="false">
      <c r="B213" s="59" t="str">
        <f aca="false">IF(Calculations!A210,Schedule!M210&amp;CHAR(9)&amp;Schedule!N210&amp;CHAR(9)&amp;Schedule!O210&amp;CHAR(9)&amp;Schedule!P210&amp;CHAR(9)&amp;Schedule!Q210&amp;CHAR(9)&amp;Schedule!R210&amp;CHAR(9)&amp;Schedule!S210&amp;CHAR(9)&amp;Schedule!T210&amp;CHAR(9)&amp;Schedule!U210&amp;CHAR(9)&amp;Schedule!V210&amp;CHAR(9)&amp;Schedule!W210&amp;CHAR(9)&amp;Schedule!X210&amp;CHAR(9)&amp;Schedule!Y210,"")</f>
        <v/>
      </c>
    </row>
    <row r="214" customFormat="false" ht="15" hidden="false" customHeight="false" outlineLevel="0" collapsed="false">
      <c r="B214" s="59" t="str">
        <f aca="false">IF(Calculations!A211,Schedule!M211&amp;CHAR(9)&amp;Schedule!N211&amp;CHAR(9)&amp;Schedule!O211&amp;CHAR(9)&amp;Schedule!P211&amp;CHAR(9)&amp;Schedule!Q211&amp;CHAR(9)&amp;Schedule!R211&amp;CHAR(9)&amp;Schedule!S211&amp;CHAR(9)&amp;Schedule!T211&amp;CHAR(9)&amp;Schedule!U211&amp;CHAR(9)&amp;Schedule!V211&amp;CHAR(9)&amp;Schedule!W211&amp;CHAR(9)&amp;Schedule!X211&amp;CHAR(9)&amp;Schedule!Y211,"")</f>
        <v/>
      </c>
    </row>
    <row r="215" customFormat="false" ht="15" hidden="false" customHeight="false" outlineLevel="0" collapsed="false">
      <c r="B215" s="59" t="str">
        <f aca="false">IF(Calculations!A212,Schedule!M212&amp;CHAR(9)&amp;Schedule!N212&amp;CHAR(9)&amp;Schedule!O212&amp;CHAR(9)&amp;Schedule!P212&amp;CHAR(9)&amp;Schedule!Q212&amp;CHAR(9)&amp;Schedule!R212&amp;CHAR(9)&amp;Schedule!S212&amp;CHAR(9)&amp;Schedule!T212&amp;CHAR(9)&amp;Schedule!U212&amp;CHAR(9)&amp;Schedule!V212&amp;CHAR(9)&amp;Schedule!W212&amp;CHAR(9)&amp;Schedule!X212&amp;CHAR(9)&amp;Schedule!Y212,"")</f>
        <v/>
      </c>
    </row>
    <row r="216" customFormat="false" ht="15" hidden="false" customHeight="false" outlineLevel="0" collapsed="false">
      <c r="B216" s="59" t="str">
        <f aca="false">IF(Calculations!A213,Schedule!M213&amp;CHAR(9)&amp;Schedule!N213&amp;CHAR(9)&amp;Schedule!O213&amp;CHAR(9)&amp;Schedule!P213&amp;CHAR(9)&amp;Schedule!Q213&amp;CHAR(9)&amp;Schedule!R213&amp;CHAR(9)&amp;Schedule!S213&amp;CHAR(9)&amp;Schedule!T213&amp;CHAR(9)&amp;Schedule!U213&amp;CHAR(9)&amp;Schedule!V213&amp;CHAR(9)&amp;Schedule!W213&amp;CHAR(9)&amp;Schedule!X213&amp;CHAR(9)&amp;Schedule!Y213,"")</f>
        <v/>
      </c>
    </row>
    <row r="217" customFormat="false" ht="15" hidden="false" customHeight="false" outlineLevel="0" collapsed="false">
      <c r="B217" s="59" t="str">
        <f aca="false">IF(Calculations!A214,Schedule!M214&amp;CHAR(9)&amp;Schedule!N214&amp;CHAR(9)&amp;Schedule!O214&amp;CHAR(9)&amp;Schedule!P214&amp;CHAR(9)&amp;Schedule!Q214&amp;CHAR(9)&amp;Schedule!R214&amp;CHAR(9)&amp;Schedule!S214&amp;CHAR(9)&amp;Schedule!T214&amp;CHAR(9)&amp;Schedule!U214&amp;CHAR(9)&amp;Schedule!V214&amp;CHAR(9)&amp;Schedule!W214&amp;CHAR(9)&amp;Schedule!X214&amp;CHAR(9)&amp;Schedule!Y214,"")</f>
        <v/>
      </c>
    </row>
    <row r="218" customFormat="false" ht="15" hidden="false" customHeight="false" outlineLevel="0" collapsed="false">
      <c r="B218" s="59" t="str">
        <f aca="false">IF(Calculations!A215,Schedule!M215&amp;CHAR(9)&amp;Schedule!N215&amp;CHAR(9)&amp;Schedule!O215&amp;CHAR(9)&amp;Schedule!P215&amp;CHAR(9)&amp;Schedule!Q215&amp;CHAR(9)&amp;Schedule!R215&amp;CHAR(9)&amp;Schedule!S215&amp;CHAR(9)&amp;Schedule!T215&amp;CHAR(9)&amp;Schedule!U215&amp;CHAR(9)&amp;Schedule!V215&amp;CHAR(9)&amp;Schedule!W215&amp;CHAR(9)&amp;Schedule!X215&amp;CHAR(9)&amp;Schedule!Y215,"")</f>
        <v/>
      </c>
    </row>
    <row r="219" customFormat="false" ht="15" hidden="false" customHeight="false" outlineLevel="0" collapsed="false">
      <c r="B219" s="59" t="str">
        <f aca="false">IF(Calculations!A216,Schedule!M216&amp;CHAR(9)&amp;Schedule!N216&amp;CHAR(9)&amp;Schedule!O216&amp;CHAR(9)&amp;Schedule!P216&amp;CHAR(9)&amp;Schedule!Q216&amp;CHAR(9)&amp;Schedule!R216&amp;CHAR(9)&amp;Schedule!S216&amp;CHAR(9)&amp;Schedule!T216&amp;CHAR(9)&amp;Schedule!U216&amp;CHAR(9)&amp;Schedule!V216&amp;CHAR(9)&amp;Schedule!W216&amp;CHAR(9)&amp;Schedule!X216&amp;CHAR(9)&amp;Schedule!Y216,"")</f>
        <v/>
      </c>
    </row>
    <row r="220" customFormat="false" ht="15" hidden="false" customHeight="false" outlineLevel="0" collapsed="false">
      <c r="B220" s="59" t="str">
        <f aca="false">IF(Calculations!A217,Schedule!M217&amp;CHAR(9)&amp;Schedule!N217&amp;CHAR(9)&amp;Schedule!O217&amp;CHAR(9)&amp;Schedule!P217&amp;CHAR(9)&amp;Schedule!Q217&amp;CHAR(9)&amp;Schedule!R217&amp;CHAR(9)&amp;Schedule!S217&amp;CHAR(9)&amp;Schedule!T217&amp;CHAR(9)&amp;Schedule!U217&amp;CHAR(9)&amp;Schedule!V217&amp;CHAR(9)&amp;Schedule!W217&amp;CHAR(9)&amp;Schedule!X217&amp;CHAR(9)&amp;Schedule!Y217,"")</f>
        <v/>
      </c>
    </row>
    <row r="221" customFormat="false" ht="15" hidden="false" customHeight="false" outlineLevel="0" collapsed="false">
      <c r="B221" s="59" t="str">
        <f aca="false">IF(Calculations!A218,Schedule!M218&amp;CHAR(9)&amp;Schedule!N218&amp;CHAR(9)&amp;Schedule!O218&amp;CHAR(9)&amp;Schedule!P218&amp;CHAR(9)&amp;Schedule!Q218&amp;CHAR(9)&amp;Schedule!R218&amp;CHAR(9)&amp;Schedule!S218&amp;CHAR(9)&amp;Schedule!T218&amp;CHAR(9)&amp;Schedule!U218&amp;CHAR(9)&amp;Schedule!V218&amp;CHAR(9)&amp;Schedule!W218&amp;CHAR(9)&amp;Schedule!X218&amp;CHAR(9)&amp;Schedule!Y218,"")</f>
        <v/>
      </c>
    </row>
    <row r="222" customFormat="false" ht="15" hidden="false" customHeight="false" outlineLevel="0" collapsed="false">
      <c r="B222" s="59" t="str">
        <f aca="false">IF(Calculations!A219,Schedule!M219&amp;CHAR(9)&amp;Schedule!N219&amp;CHAR(9)&amp;Schedule!O219&amp;CHAR(9)&amp;Schedule!P219&amp;CHAR(9)&amp;Schedule!Q219&amp;CHAR(9)&amp;Schedule!R219&amp;CHAR(9)&amp;Schedule!S219&amp;CHAR(9)&amp;Schedule!T219&amp;CHAR(9)&amp;Schedule!U219&amp;CHAR(9)&amp;Schedule!V219&amp;CHAR(9)&amp;Schedule!W219&amp;CHAR(9)&amp;Schedule!X219&amp;CHAR(9)&amp;Schedule!Y219,"")</f>
        <v/>
      </c>
    </row>
    <row r="223" customFormat="false" ht="15" hidden="false" customHeight="false" outlineLevel="0" collapsed="false">
      <c r="B223" s="59" t="str">
        <f aca="false">IF(Calculations!A220,Schedule!M220&amp;CHAR(9)&amp;Schedule!N220&amp;CHAR(9)&amp;Schedule!O220&amp;CHAR(9)&amp;Schedule!P220&amp;CHAR(9)&amp;Schedule!Q220&amp;CHAR(9)&amp;Schedule!R220&amp;CHAR(9)&amp;Schedule!S220&amp;CHAR(9)&amp;Schedule!T220&amp;CHAR(9)&amp;Schedule!U220&amp;CHAR(9)&amp;Schedule!V220&amp;CHAR(9)&amp;Schedule!W220&amp;CHAR(9)&amp;Schedule!X220&amp;CHAR(9)&amp;Schedule!Y220,"")</f>
        <v/>
      </c>
    </row>
    <row r="224" customFormat="false" ht="15" hidden="false" customHeight="false" outlineLevel="0" collapsed="false">
      <c r="B224" s="59" t="str">
        <f aca="false">IF(Calculations!A221,Schedule!M221&amp;CHAR(9)&amp;Schedule!N221&amp;CHAR(9)&amp;Schedule!O221&amp;CHAR(9)&amp;Schedule!P221&amp;CHAR(9)&amp;Schedule!Q221&amp;CHAR(9)&amp;Schedule!R221&amp;CHAR(9)&amp;Schedule!S221&amp;CHAR(9)&amp;Schedule!T221&amp;CHAR(9)&amp;Schedule!U221&amp;CHAR(9)&amp;Schedule!V221&amp;CHAR(9)&amp;Schedule!W221&amp;CHAR(9)&amp;Schedule!X221&amp;CHAR(9)&amp;Schedule!Y221,"")</f>
        <v/>
      </c>
    </row>
    <row r="225" customFormat="false" ht="15" hidden="false" customHeight="false" outlineLevel="0" collapsed="false">
      <c r="B225" s="59" t="str">
        <f aca="false">IF(Calculations!A222,Schedule!M222&amp;CHAR(9)&amp;Schedule!N222&amp;CHAR(9)&amp;Schedule!O222&amp;CHAR(9)&amp;Schedule!P222&amp;CHAR(9)&amp;Schedule!Q222&amp;CHAR(9)&amp;Schedule!R222&amp;CHAR(9)&amp;Schedule!S222&amp;CHAR(9)&amp;Schedule!T222&amp;CHAR(9)&amp;Schedule!U222&amp;CHAR(9)&amp;Schedule!V222&amp;CHAR(9)&amp;Schedule!W222&amp;CHAR(9)&amp;Schedule!X222&amp;CHAR(9)&amp;Schedule!Y222,"")</f>
        <v/>
      </c>
    </row>
    <row r="226" customFormat="false" ht="15" hidden="false" customHeight="false" outlineLevel="0" collapsed="false">
      <c r="B226" s="59" t="str">
        <f aca="false">IF(Calculations!A223,Schedule!M223&amp;CHAR(9)&amp;Schedule!N223&amp;CHAR(9)&amp;Schedule!O223&amp;CHAR(9)&amp;Schedule!P223&amp;CHAR(9)&amp;Schedule!Q223&amp;CHAR(9)&amp;Schedule!R223&amp;CHAR(9)&amp;Schedule!S223&amp;CHAR(9)&amp;Schedule!T223&amp;CHAR(9)&amp;Schedule!U223&amp;CHAR(9)&amp;Schedule!V223&amp;CHAR(9)&amp;Schedule!W223&amp;CHAR(9)&amp;Schedule!X223&amp;CHAR(9)&amp;Schedule!Y223,"")</f>
        <v/>
      </c>
    </row>
    <row r="227" customFormat="false" ht="15" hidden="false" customHeight="false" outlineLevel="0" collapsed="false">
      <c r="B227" s="59" t="str">
        <f aca="false">IF(Calculations!A224,Schedule!M224&amp;CHAR(9)&amp;Schedule!N224&amp;CHAR(9)&amp;Schedule!O224&amp;CHAR(9)&amp;Schedule!P224&amp;CHAR(9)&amp;Schedule!Q224&amp;CHAR(9)&amp;Schedule!R224&amp;CHAR(9)&amp;Schedule!S224&amp;CHAR(9)&amp;Schedule!T224&amp;CHAR(9)&amp;Schedule!U224&amp;CHAR(9)&amp;Schedule!V224&amp;CHAR(9)&amp;Schedule!W224&amp;CHAR(9)&amp;Schedule!X224&amp;CHAR(9)&amp;Schedule!Y224,"")</f>
        <v/>
      </c>
    </row>
    <row r="228" customFormat="false" ht="15" hidden="false" customHeight="false" outlineLevel="0" collapsed="false">
      <c r="B228" s="59" t="str">
        <f aca="false">IF(Calculations!A225,Schedule!M225&amp;CHAR(9)&amp;Schedule!N225&amp;CHAR(9)&amp;Schedule!O225&amp;CHAR(9)&amp;Schedule!P225&amp;CHAR(9)&amp;Schedule!Q225&amp;CHAR(9)&amp;Schedule!R225&amp;CHAR(9)&amp;Schedule!S225&amp;CHAR(9)&amp;Schedule!T225&amp;CHAR(9)&amp;Schedule!U225&amp;CHAR(9)&amp;Schedule!V225&amp;CHAR(9)&amp;Schedule!W225&amp;CHAR(9)&amp;Schedule!X225&amp;CHAR(9)&amp;Schedule!Y225,"")</f>
        <v/>
      </c>
    </row>
    <row r="229" customFormat="false" ht="15" hidden="false" customHeight="false" outlineLevel="0" collapsed="false">
      <c r="B229" s="59" t="str">
        <f aca="false">IF(Calculations!A226,Schedule!M226&amp;CHAR(9)&amp;Schedule!N226&amp;CHAR(9)&amp;Schedule!O226&amp;CHAR(9)&amp;Schedule!P226&amp;CHAR(9)&amp;Schedule!Q226&amp;CHAR(9)&amp;Schedule!R226&amp;CHAR(9)&amp;Schedule!S226&amp;CHAR(9)&amp;Schedule!T226&amp;CHAR(9)&amp;Schedule!U226&amp;CHAR(9)&amp;Schedule!V226&amp;CHAR(9)&amp;Schedule!W226&amp;CHAR(9)&amp;Schedule!X226&amp;CHAR(9)&amp;Schedule!Y226,"")</f>
        <v/>
      </c>
    </row>
    <row r="230" customFormat="false" ht="15" hidden="false" customHeight="false" outlineLevel="0" collapsed="false">
      <c r="B230" s="59" t="str">
        <f aca="false">IF(Calculations!A227,Schedule!M227&amp;CHAR(9)&amp;Schedule!N227&amp;CHAR(9)&amp;Schedule!O227&amp;CHAR(9)&amp;Schedule!P227&amp;CHAR(9)&amp;Schedule!Q227&amp;CHAR(9)&amp;Schedule!R227&amp;CHAR(9)&amp;Schedule!S227&amp;CHAR(9)&amp;Schedule!T227&amp;CHAR(9)&amp;Schedule!U227&amp;CHAR(9)&amp;Schedule!V227&amp;CHAR(9)&amp;Schedule!W227&amp;CHAR(9)&amp;Schedule!X227&amp;CHAR(9)&amp;Schedule!Y227,"")</f>
        <v/>
      </c>
    </row>
    <row r="231" customFormat="false" ht="15" hidden="false" customHeight="false" outlineLevel="0" collapsed="false">
      <c r="B231" s="59" t="str">
        <f aca="false">IF(Calculations!A228,Schedule!M228&amp;CHAR(9)&amp;Schedule!N228&amp;CHAR(9)&amp;Schedule!O228&amp;CHAR(9)&amp;Schedule!P228&amp;CHAR(9)&amp;Schedule!Q228&amp;CHAR(9)&amp;Schedule!R228&amp;CHAR(9)&amp;Schedule!S228&amp;CHAR(9)&amp;Schedule!T228&amp;CHAR(9)&amp;Schedule!U228&amp;CHAR(9)&amp;Schedule!V228&amp;CHAR(9)&amp;Schedule!W228&amp;CHAR(9)&amp;Schedule!X228&amp;CHAR(9)&amp;Schedule!Y228,"")</f>
        <v/>
      </c>
    </row>
    <row r="232" customFormat="false" ht="15" hidden="false" customHeight="false" outlineLevel="0" collapsed="false">
      <c r="B232" s="59" t="str">
        <f aca="false">IF(Calculations!A229,Schedule!M229&amp;CHAR(9)&amp;Schedule!N229&amp;CHAR(9)&amp;Schedule!O229&amp;CHAR(9)&amp;Schedule!P229&amp;CHAR(9)&amp;Schedule!Q229&amp;CHAR(9)&amp;Schedule!R229&amp;CHAR(9)&amp;Schedule!S229&amp;CHAR(9)&amp;Schedule!T229&amp;CHAR(9)&amp;Schedule!U229&amp;CHAR(9)&amp;Schedule!V229&amp;CHAR(9)&amp;Schedule!W229&amp;CHAR(9)&amp;Schedule!X229&amp;CHAR(9)&amp;Schedule!Y229,"")</f>
        <v/>
      </c>
    </row>
    <row r="233" customFormat="false" ht="15" hidden="false" customHeight="false" outlineLevel="0" collapsed="false">
      <c r="B233" s="59" t="str">
        <f aca="false">IF(Calculations!A230,Schedule!M230&amp;CHAR(9)&amp;Schedule!N230&amp;CHAR(9)&amp;Schedule!O230&amp;CHAR(9)&amp;Schedule!P230&amp;CHAR(9)&amp;Schedule!Q230&amp;CHAR(9)&amp;Schedule!R230&amp;CHAR(9)&amp;Schedule!S230&amp;CHAR(9)&amp;Schedule!T230&amp;CHAR(9)&amp;Schedule!U230&amp;CHAR(9)&amp;Schedule!V230&amp;CHAR(9)&amp;Schedule!W230&amp;CHAR(9)&amp;Schedule!X230&amp;CHAR(9)&amp;Schedule!Y230,"")</f>
        <v/>
      </c>
    </row>
    <row r="234" customFormat="false" ht="15" hidden="false" customHeight="false" outlineLevel="0" collapsed="false">
      <c r="B234" s="59" t="str">
        <f aca="false">IF(Calculations!A231,Schedule!M231&amp;CHAR(9)&amp;Schedule!N231&amp;CHAR(9)&amp;Schedule!O231&amp;CHAR(9)&amp;Schedule!P231&amp;CHAR(9)&amp;Schedule!Q231&amp;CHAR(9)&amp;Schedule!R231&amp;CHAR(9)&amp;Schedule!S231&amp;CHAR(9)&amp;Schedule!T231&amp;CHAR(9)&amp;Schedule!U231&amp;CHAR(9)&amp;Schedule!V231&amp;CHAR(9)&amp;Schedule!W231&amp;CHAR(9)&amp;Schedule!X231&amp;CHAR(9)&amp;Schedule!Y231,"")</f>
        <v/>
      </c>
    </row>
    <row r="235" customFormat="false" ht="15" hidden="false" customHeight="false" outlineLevel="0" collapsed="false">
      <c r="B235" s="59" t="str">
        <f aca="false">IF(Calculations!A232,Schedule!M232&amp;CHAR(9)&amp;Schedule!N232&amp;CHAR(9)&amp;Schedule!O232&amp;CHAR(9)&amp;Schedule!P232&amp;CHAR(9)&amp;Schedule!Q232&amp;CHAR(9)&amp;Schedule!R232&amp;CHAR(9)&amp;Schedule!S232&amp;CHAR(9)&amp;Schedule!T232&amp;CHAR(9)&amp;Schedule!U232&amp;CHAR(9)&amp;Schedule!V232&amp;CHAR(9)&amp;Schedule!W232&amp;CHAR(9)&amp;Schedule!X232&amp;CHAR(9)&amp;Schedule!Y232,"")</f>
        <v/>
      </c>
    </row>
    <row r="236" customFormat="false" ht="15" hidden="false" customHeight="false" outlineLevel="0" collapsed="false">
      <c r="B236" s="59" t="str">
        <f aca="false">IF(Calculations!A233,Schedule!M233&amp;CHAR(9)&amp;Schedule!N233&amp;CHAR(9)&amp;Schedule!O233&amp;CHAR(9)&amp;Schedule!P233&amp;CHAR(9)&amp;Schedule!Q233&amp;CHAR(9)&amp;Schedule!R233&amp;CHAR(9)&amp;Schedule!S233&amp;CHAR(9)&amp;Schedule!T233&amp;CHAR(9)&amp;Schedule!U233&amp;CHAR(9)&amp;Schedule!V233&amp;CHAR(9)&amp;Schedule!W233&amp;CHAR(9)&amp;Schedule!X233&amp;CHAR(9)&amp;Schedule!Y233,"")</f>
        <v/>
      </c>
    </row>
    <row r="237" customFormat="false" ht="15" hidden="false" customHeight="false" outlineLevel="0" collapsed="false">
      <c r="B237" s="59" t="str">
        <f aca="false">IF(Calculations!A234,Schedule!M234&amp;CHAR(9)&amp;Schedule!N234&amp;CHAR(9)&amp;Schedule!O234&amp;CHAR(9)&amp;Schedule!P234&amp;CHAR(9)&amp;Schedule!Q234&amp;CHAR(9)&amp;Schedule!R234&amp;CHAR(9)&amp;Schedule!S234&amp;CHAR(9)&amp;Schedule!T234&amp;CHAR(9)&amp;Schedule!U234&amp;CHAR(9)&amp;Schedule!V234&amp;CHAR(9)&amp;Schedule!W234&amp;CHAR(9)&amp;Schedule!X234&amp;CHAR(9)&amp;Schedule!Y234,"")</f>
        <v/>
      </c>
    </row>
    <row r="238" customFormat="false" ht="15" hidden="false" customHeight="false" outlineLevel="0" collapsed="false">
      <c r="B238" s="59" t="str">
        <f aca="false">IF(Calculations!A235,Schedule!M235&amp;CHAR(9)&amp;Schedule!N235&amp;CHAR(9)&amp;Schedule!O235&amp;CHAR(9)&amp;Schedule!P235&amp;CHAR(9)&amp;Schedule!Q235&amp;CHAR(9)&amp;Schedule!R235&amp;CHAR(9)&amp;Schedule!S235&amp;CHAR(9)&amp;Schedule!T235&amp;CHAR(9)&amp;Schedule!U235&amp;CHAR(9)&amp;Schedule!V235&amp;CHAR(9)&amp;Schedule!W235&amp;CHAR(9)&amp;Schedule!X235&amp;CHAR(9)&amp;Schedule!Y235,"")</f>
        <v/>
      </c>
    </row>
    <row r="239" customFormat="false" ht="15" hidden="false" customHeight="false" outlineLevel="0" collapsed="false">
      <c r="B239" s="59" t="str">
        <f aca="false">IF(Calculations!A236,Schedule!M236&amp;CHAR(9)&amp;Schedule!N236&amp;CHAR(9)&amp;Schedule!O236&amp;CHAR(9)&amp;Schedule!P236&amp;CHAR(9)&amp;Schedule!Q236&amp;CHAR(9)&amp;Schedule!R236&amp;CHAR(9)&amp;Schedule!S236&amp;CHAR(9)&amp;Schedule!T236&amp;CHAR(9)&amp;Schedule!U236&amp;CHAR(9)&amp;Schedule!V236&amp;CHAR(9)&amp;Schedule!W236&amp;CHAR(9)&amp;Schedule!X236&amp;CHAR(9)&amp;Schedule!Y236,"")</f>
        <v/>
      </c>
    </row>
    <row r="240" customFormat="false" ht="15" hidden="false" customHeight="false" outlineLevel="0" collapsed="false">
      <c r="B240" s="59" t="str">
        <f aca="false">IF(Calculations!A237,Schedule!M237&amp;CHAR(9)&amp;Schedule!N237&amp;CHAR(9)&amp;Schedule!O237&amp;CHAR(9)&amp;Schedule!P237&amp;CHAR(9)&amp;Schedule!Q237&amp;CHAR(9)&amp;Schedule!R237&amp;CHAR(9)&amp;Schedule!S237&amp;CHAR(9)&amp;Schedule!T237&amp;CHAR(9)&amp;Schedule!U237&amp;CHAR(9)&amp;Schedule!V237&amp;CHAR(9)&amp;Schedule!W237&amp;CHAR(9)&amp;Schedule!X237&amp;CHAR(9)&amp;Schedule!Y237,"")</f>
        <v/>
      </c>
    </row>
    <row r="241" customFormat="false" ht="15" hidden="false" customHeight="false" outlineLevel="0" collapsed="false">
      <c r="B241" s="59" t="str">
        <f aca="false">IF(Calculations!A238,Schedule!M238&amp;CHAR(9)&amp;Schedule!N238&amp;CHAR(9)&amp;Schedule!O238&amp;CHAR(9)&amp;Schedule!P238&amp;CHAR(9)&amp;Schedule!Q238&amp;CHAR(9)&amp;Schedule!R238&amp;CHAR(9)&amp;Schedule!S238&amp;CHAR(9)&amp;Schedule!T238&amp;CHAR(9)&amp;Schedule!U238&amp;CHAR(9)&amp;Schedule!V238&amp;CHAR(9)&amp;Schedule!W238&amp;CHAR(9)&amp;Schedule!X238&amp;CHAR(9)&amp;Schedule!Y238,"")</f>
        <v/>
      </c>
    </row>
    <row r="242" customFormat="false" ht="15" hidden="false" customHeight="false" outlineLevel="0" collapsed="false">
      <c r="B242" s="59" t="str">
        <f aca="false">IF(Calculations!A239,Schedule!M239&amp;CHAR(9)&amp;Schedule!N239&amp;CHAR(9)&amp;Schedule!O239&amp;CHAR(9)&amp;Schedule!P239&amp;CHAR(9)&amp;Schedule!Q239&amp;CHAR(9)&amp;Schedule!R239&amp;CHAR(9)&amp;Schedule!S239&amp;CHAR(9)&amp;Schedule!T239&amp;CHAR(9)&amp;Schedule!U239&amp;CHAR(9)&amp;Schedule!V239&amp;CHAR(9)&amp;Schedule!W239&amp;CHAR(9)&amp;Schedule!X239&amp;CHAR(9)&amp;Schedule!Y239,"")</f>
        <v/>
      </c>
    </row>
    <row r="243" customFormat="false" ht="15" hidden="false" customHeight="false" outlineLevel="0" collapsed="false">
      <c r="B243" s="59" t="str">
        <f aca="false">IF(Calculations!A240,Schedule!M240&amp;CHAR(9)&amp;Schedule!N240&amp;CHAR(9)&amp;Schedule!O240&amp;CHAR(9)&amp;Schedule!P240&amp;CHAR(9)&amp;Schedule!Q240&amp;CHAR(9)&amp;Schedule!R240&amp;CHAR(9)&amp;Schedule!S240&amp;CHAR(9)&amp;Schedule!T240&amp;CHAR(9)&amp;Schedule!U240&amp;CHAR(9)&amp;Schedule!V240&amp;CHAR(9)&amp;Schedule!W240&amp;CHAR(9)&amp;Schedule!X240&amp;CHAR(9)&amp;Schedule!Y240,"")</f>
        <v/>
      </c>
    </row>
    <row r="244" customFormat="false" ht="15" hidden="false" customHeight="false" outlineLevel="0" collapsed="false">
      <c r="B244" s="59" t="str">
        <f aca="false">IF(Calculations!A241,Schedule!M241&amp;CHAR(9)&amp;Schedule!N241&amp;CHAR(9)&amp;Schedule!O241&amp;CHAR(9)&amp;Schedule!P241&amp;CHAR(9)&amp;Schedule!Q241&amp;CHAR(9)&amp;Schedule!R241&amp;CHAR(9)&amp;Schedule!S241&amp;CHAR(9)&amp;Schedule!T241&amp;CHAR(9)&amp;Schedule!U241&amp;CHAR(9)&amp;Schedule!V241&amp;CHAR(9)&amp;Schedule!W241&amp;CHAR(9)&amp;Schedule!X241&amp;CHAR(9)&amp;Schedule!Y241,"")</f>
        <v/>
      </c>
    </row>
    <row r="245" customFormat="false" ht="15" hidden="false" customHeight="false" outlineLevel="0" collapsed="false">
      <c r="B245" s="59" t="str">
        <f aca="false">IF(Calculations!A242,Schedule!M242&amp;CHAR(9)&amp;Schedule!N242&amp;CHAR(9)&amp;Schedule!O242&amp;CHAR(9)&amp;Schedule!P242&amp;CHAR(9)&amp;Schedule!Q242&amp;CHAR(9)&amp;Schedule!R242&amp;CHAR(9)&amp;Schedule!S242&amp;CHAR(9)&amp;Schedule!T242&amp;CHAR(9)&amp;Schedule!U242&amp;CHAR(9)&amp;Schedule!V242&amp;CHAR(9)&amp;Schedule!W242&amp;CHAR(9)&amp;Schedule!X242&amp;CHAR(9)&amp;Schedule!Y242,"")</f>
        <v/>
      </c>
    </row>
    <row r="246" customFormat="false" ht="15" hidden="false" customHeight="false" outlineLevel="0" collapsed="false">
      <c r="B246" s="59" t="str">
        <f aca="false">IF(Calculations!A243,Schedule!M243&amp;CHAR(9)&amp;Schedule!N243&amp;CHAR(9)&amp;Schedule!O243&amp;CHAR(9)&amp;Schedule!P243&amp;CHAR(9)&amp;Schedule!Q243&amp;CHAR(9)&amp;Schedule!R243&amp;CHAR(9)&amp;Schedule!S243&amp;CHAR(9)&amp;Schedule!T243&amp;CHAR(9)&amp;Schedule!U243&amp;CHAR(9)&amp;Schedule!V243&amp;CHAR(9)&amp;Schedule!W243&amp;CHAR(9)&amp;Schedule!X243&amp;CHAR(9)&amp;Schedule!Y243,"")</f>
        <v/>
      </c>
    </row>
    <row r="247" customFormat="false" ht="15" hidden="false" customHeight="false" outlineLevel="0" collapsed="false">
      <c r="B247" s="59" t="str">
        <f aca="false">IF(Calculations!A244,Schedule!M244&amp;CHAR(9)&amp;Schedule!N244&amp;CHAR(9)&amp;Schedule!O244&amp;CHAR(9)&amp;Schedule!P244&amp;CHAR(9)&amp;Schedule!Q244&amp;CHAR(9)&amp;Schedule!R244&amp;CHAR(9)&amp;Schedule!S244&amp;CHAR(9)&amp;Schedule!T244&amp;CHAR(9)&amp;Schedule!U244&amp;CHAR(9)&amp;Schedule!V244&amp;CHAR(9)&amp;Schedule!W244&amp;CHAR(9)&amp;Schedule!X244&amp;CHAR(9)&amp;Schedule!Y244,"")</f>
        <v/>
      </c>
    </row>
    <row r="248" customFormat="false" ht="15" hidden="false" customHeight="false" outlineLevel="0" collapsed="false">
      <c r="B248" s="59" t="str">
        <f aca="false">IF(Calculations!A245,Schedule!M245&amp;CHAR(9)&amp;Schedule!N245&amp;CHAR(9)&amp;Schedule!O245&amp;CHAR(9)&amp;Schedule!P245&amp;CHAR(9)&amp;Schedule!Q245&amp;CHAR(9)&amp;Schedule!R245&amp;CHAR(9)&amp;Schedule!S245&amp;CHAR(9)&amp;Schedule!T245&amp;CHAR(9)&amp;Schedule!U245&amp;CHAR(9)&amp;Schedule!V245&amp;CHAR(9)&amp;Schedule!W245&amp;CHAR(9)&amp;Schedule!X245&amp;CHAR(9)&amp;Schedule!Y245,"")</f>
        <v/>
      </c>
    </row>
    <row r="249" customFormat="false" ht="15" hidden="false" customHeight="false" outlineLevel="0" collapsed="false">
      <c r="B249" s="59" t="str">
        <f aca="false">IF(Calculations!A246,Schedule!M246&amp;CHAR(9)&amp;Schedule!N246&amp;CHAR(9)&amp;Schedule!O246&amp;CHAR(9)&amp;Schedule!P246&amp;CHAR(9)&amp;Schedule!Q246&amp;CHAR(9)&amp;Schedule!R246&amp;CHAR(9)&amp;Schedule!S246&amp;CHAR(9)&amp;Schedule!T246&amp;CHAR(9)&amp;Schedule!U246&amp;CHAR(9)&amp;Schedule!V246&amp;CHAR(9)&amp;Schedule!W246&amp;CHAR(9)&amp;Schedule!X246&amp;CHAR(9)&amp;Schedule!Y246,"")</f>
        <v/>
      </c>
    </row>
    <row r="250" customFormat="false" ht="15" hidden="false" customHeight="false" outlineLevel="0" collapsed="false">
      <c r="B250" s="59" t="str">
        <f aca="false">IF(Calculations!A247,Schedule!M247&amp;CHAR(9)&amp;Schedule!N247&amp;CHAR(9)&amp;Schedule!O247&amp;CHAR(9)&amp;Schedule!P247&amp;CHAR(9)&amp;Schedule!Q247&amp;CHAR(9)&amp;Schedule!R247&amp;CHAR(9)&amp;Schedule!S247&amp;CHAR(9)&amp;Schedule!T247&amp;CHAR(9)&amp;Schedule!U247&amp;CHAR(9)&amp;Schedule!V247&amp;CHAR(9)&amp;Schedule!W247&amp;CHAR(9)&amp;Schedule!X247&amp;CHAR(9)&amp;Schedule!Y247,"")</f>
        <v/>
      </c>
    </row>
    <row r="251" customFormat="false" ht="15" hidden="false" customHeight="false" outlineLevel="0" collapsed="false">
      <c r="B251" s="59" t="str">
        <f aca="false">IF(Calculations!A248,Schedule!M248&amp;CHAR(9)&amp;Schedule!N248&amp;CHAR(9)&amp;Schedule!O248&amp;CHAR(9)&amp;Schedule!P248&amp;CHAR(9)&amp;Schedule!Q248&amp;CHAR(9)&amp;Schedule!R248&amp;CHAR(9)&amp;Schedule!S248&amp;CHAR(9)&amp;Schedule!T248&amp;CHAR(9)&amp;Schedule!U248&amp;CHAR(9)&amp;Schedule!V248&amp;CHAR(9)&amp;Schedule!W248&amp;CHAR(9)&amp;Schedule!X248&amp;CHAR(9)&amp;Schedule!Y248,"")</f>
        <v/>
      </c>
    </row>
    <row r="252" customFormat="false" ht="15" hidden="false" customHeight="false" outlineLevel="0" collapsed="false">
      <c r="B252" s="59" t="str">
        <f aca="false">IF(Calculations!A249,Schedule!M249&amp;CHAR(9)&amp;Schedule!N249&amp;CHAR(9)&amp;Schedule!O249&amp;CHAR(9)&amp;Schedule!P249&amp;CHAR(9)&amp;Schedule!Q249&amp;CHAR(9)&amp;Schedule!R249&amp;CHAR(9)&amp;Schedule!S249&amp;CHAR(9)&amp;Schedule!T249&amp;CHAR(9)&amp;Schedule!U249&amp;CHAR(9)&amp;Schedule!V249&amp;CHAR(9)&amp;Schedule!W249&amp;CHAR(9)&amp;Schedule!X249&amp;CHAR(9)&amp;Schedule!Y249,"")</f>
        <v/>
      </c>
    </row>
    <row r="253" customFormat="false" ht="15" hidden="false" customHeight="false" outlineLevel="0" collapsed="false">
      <c r="B253" s="59" t="str">
        <f aca="false">IF(Calculations!A250,Schedule!M250&amp;CHAR(9)&amp;Schedule!N250&amp;CHAR(9)&amp;Schedule!O250&amp;CHAR(9)&amp;Schedule!P250&amp;CHAR(9)&amp;Schedule!Q250&amp;CHAR(9)&amp;Schedule!R250&amp;CHAR(9)&amp;Schedule!S250&amp;CHAR(9)&amp;Schedule!T250&amp;CHAR(9)&amp;Schedule!U250&amp;CHAR(9)&amp;Schedule!V250&amp;CHAR(9)&amp;Schedule!W250&amp;CHAR(9)&amp;Schedule!X250&amp;CHAR(9)&amp;Schedule!Y250,"")</f>
        <v/>
      </c>
    </row>
    <row r="254" customFormat="false" ht="15" hidden="false" customHeight="false" outlineLevel="0" collapsed="false">
      <c r="B254" s="59" t="str">
        <f aca="false">IF(Calculations!A251,Schedule!M251&amp;CHAR(9)&amp;Schedule!N251&amp;CHAR(9)&amp;Schedule!O251&amp;CHAR(9)&amp;Schedule!P251&amp;CHAR(9)&amp;Schedule!Q251&amp;CHAR(9)&amp;Schedule!R251&amp;CHAR(9)&amp;Schedule!S251&amp;CHAR(9)&amp;Schedule!T251&amp;CHAR(9)&amp;Schedule!U251&amp;CHAR(9)&amp;Schedule!V251&amp;CHAR(9)&amp;Schedule!W251&amp;CHAR(9)&amp;Schedule!X251&amp;CHAR(9)&amp;Schedule!Y251,"")</f>
        <v/>
      </c>
    </row>
    <row r="255" customFormat="false" ht="15" hidden="false" customHeight="false" outlineLevel="0" collapsed="false">
      <c r="B255" s="59" t="str">
        <f aca="false">IF(Calculations!A252,Schedule!M252&amp;CHAR(9)&amp;Schedule!N252&amp;CHAR(9)&amp;Schedule!O252&amp;CHAR(9)&amp;Schedule!P252&amp;CHAR(9)&amp;Schedule!Q252&amp;CHAR(9)&amp;Schedule!R252&amp;CHAR(9)&amp;Schedule!S252&amp;CHAR(9)&amp;Schedule!T252&amp;CHAR(9)&amp;Schedule!U252&amp;CHAR(9)&amp;Schedule!V252&amp;CHAR(9)&amp;Schedule!W252&amp;CHAR(9)&amp;Schedule!X252&amp;CHAR(9)&amp;Schedule!Y252,"")</f>
        <v/>
      </c>
    </row>
    <row r="256" customFormat="false" ht="15" hidden="false" customHeight="false" outlineLevel="0" collapsed="false">
      <c r="B256" s="59" t="str">
        <f aca="false">IF(Calculations!A253,Schedule!M253&amp;CHAR(9)&amp;Schedule!N253&amp;CHAR(9)&amp;Schedule!O253&amp;CHAR(9)&amp;Schedule!P253&amp;CHAR(9)&amp;Schedule!Q253&amp;CHAR(9)&amp;Schedule!R253&amp;CHAR(9)&amp;Schedule!S253&amp;CHAR(9)&amp;Schedule!T253&amp;CHAR(9)&amp;Schedule!U253&amp;CHAR(9)&amp;Schedule!V253&amp;CHAR(9)&amp;Schedule!W253&amp;CHAR(9)&amp;Schedule!X253&amp;CHAR(9)&amp;Schedule!Y253,"")</f>
        <v/>
      </c>
    </row>
    <row r="257" customFormat="false" ht="15" hidden="false" customHeight="false" outlineLevel="0" collapsed="false">
      <c r="B257" s="59" t="str">
        <f aca="false">IF(Calculations!A254,Schedule!M254&amp;CHAR(9)&amp;Schedule!N254&amp;CHAR(9)&amp;Schedule!O254&amp;CHAR(9)&amp;Schedule!P254&amp;CHAR(9)&amp;Schedule!Q254&amp;CHAR(9)&amp;Schedule!R254&amp;CHAR(9)&amp;Schedule!S254&amp;CHAR(9)&amp;Schedule!T254&amp;CHAR(9)&amp;Schedule!U254&amp;CHAR(9)&amp;Schedule!V254&amp;CHAR(9)&amp;Schedule!W254&amp;CHAR(9)&amp;Schedule!X254&amp;CHAR(9)&amp;Schedule!Y254,"")</f>
        <v/>
      </c>
    </row>
    <row r="258" customFormat="false" ht="15" hidden="false" customHeight="false" outlineLevel="0" collapsed="false">
      <c r="B258" s="59" t="str">
        <f aca="false">IF(Calculations!A255,Schedule!M255&amp;CHAR(9)&amp;Schedule!N255&amp;CHAR(9)&amp;Schedule!O255&amp;CHAR(9)&amp;Schedule!P255&amp;CHAR(9)&amp;Schedule!Q255&amp;CHAR(9)&amp;Schedule!R255&amp;CHAR(9)&amp;Schedule!S255&amp;CHAR(9)&amp;Schedule!T255&amp;CHAR(9)&amp;Schedule!U255&amp;CHAR(9)&amp;Schedule!V255&amp;CHAR(9)&amp;Schedule!W255&amp;CHAR(9)&amp;Schedule!X255&amp;CHAR(9)&amp;Schedule!Y255,"")</f>
        <v/>
      </c>
    </row>
    <row r="259" customFormat="false" ht="15" hidden="false" customHeight="false" outlineLevel="0" collapsed="false">
      <c r="B259" s="59" t="str">
        <f aca="false">IF(Calculations!A256,Schedule!M256&amp;CHAR(9)&amp;Schedule!N256&amp;CHAR(9)&amp;Schedule!O256&amp;CHAR(9)&amp;Schedule!P256&amp;CHAR(9)&amp;Schedule!Q256&amp;CHAR(9)&amp;Schedule!R256&amp;CHAR(9)&amp;Schedule!S256&amp;CHAR(9)&amp;Schedule!T256&amp;CHAR(9)&amp;Schedule!U256&amp;CHAR(9)&amp;Schedule!V256&amp;CHAR(9)&amp;Schedule!W256&amp;CHAR(9)&amp;Schedule!X256&amp;CHAR(9)&amp;Schedule!Y256,"")</f>
        <v/>
      </c>
    </row>
    <row r="260" customFormat="false" ht="15" hidden="false" customHeight="false" outlineLevel="0" collapsed="false">
      <c r="B260" s="59" t="str">
        <f aca="false">IF(Calculations!A257,Schedule!M257&amp;CHAR(9)&amp;Schedule!N257&amp;CHAR(9)&amp;Schedule!O257&amp;CHAR(9)&amp;Schedule!P257&amp;CHAR(9)&amp;Schedule!Q257&amp;CHAR(9)&amp;Schedule!R257&amp;CHAR(9)&amp;Schedule!S257&amp;CHAR(9)&amp;Schedule!T257&amp;CHAR(9)&amp;Schedule!U257&amp;CHAR(9)&amp;Schedule!V257&amp;CHAR(9)&amp;Schedule!W257&amp;CHAR(9)&amp;Schedule!X257&amp;CHAR(9)&amp;Schedule!Y257,"")</f>
        <v/>
      </c>
    </row>
    <row r="261" customFormat="false" ht="15" hidden="false" customHeight="false" outlineLevel="0" collapsed="false">
      <c r="B261" s="59" t="str">
        <f aca="false">IF(Calculations!A258,Schedule!M258&amp;CHAR(9)&amp;Schedule!N258&amp;CHAR(9)&amp;Schedule!O258&amp;CHAR(9)&amp;Schedule!P258&amp;CHAR(9)&amp;Schedule!Q258&amp;CHAR(9)&amp;Schedule!R258&amp;CHAR(9)&amp;Schedule!S258&amp;CHAR(9)&amp;Schedule!T258&amp;CHAR(9)&amp;Schedule!U258&amp;CHAR(9)&amp;Schedule!V258&amp;CHAR(9)&amp;Schedule!W258&amp;CHAR(9)&amp;Schedule!X258&amp;CHAR(9)&amp;Schedule!Y258,"")</f>
        <v/>
      </c>
    </row>
    <row r="262" customFormat="false" ht="15" hidden="false" customHeight="false" outlineLevel="0" collapsed="false">
      <c r="B262" s="59" t="str">
        <f aca="false">IF(Calculations!A259,Schedule!M259&amp;CHAR(9)&amp;Schedule!N259&amp;CHAR(9)&amp;Schedule!O259&amp;CHAR(9)&amp;Schedule!P259&amp;CHAR(9)&amp;Schedule!Q259&amp;CHAR(9)&amp;Schedule!R259&amp;CHAR(9)&amp;Schedule!S259&amp;CHAR(9)&amp;Schedule!T259&amp;CHAR(9)&amp;Schedule!U259&amp;CHAR(9)&amp;Schedule!V259&amp;CHAR(9)&amp;Schedule!W259&amp;CHAR(9)&amp;Schedule!X259&amp;CHAR(9)&amp;Schedule!Y259,"")</f>
        <v/>
      </c>
    </row>
    <row r="263" customFormat="false" ht="15" hidden="false" customHeight="false" outlineLevel="0" collapsed="false">
      <c r="B263" s="59" t="str">
        <f aca="false">IF(Calculations!A260,Schedule!M260&amp;CHAR(9)&amp;Schedule!N260&amp;CHAR(9)&amp;Schedule!O260&amp;CHAR(9)&amp;Schedule!P260&amp;CHAR(9)&amp;Schedule!Q260&amp;CHAR(9)&amp;Schedule!R260&amp;CHAR(9)&amp;Schedule!S260&amp;CHAR(9)&amp;Schedule!T260&amp;CHAR(9)&amp;Schedule!U260&amp;CHAR(9)&amp;Schedule!V260&amp;CHAR(9)&amp;Schedule!W260&amp;CHAR(9)&amp;Schedule!X260&amp;CHAR(9)&amp;Schedule!Y260,"")</f>
        <v/>
      </c>
    </row>
    <row r="264" customFormat="false" ht="15" hidden="false" customHeight="false" outlineLevel="0" collapsed="false">
      <c r="B264" s="59" t="str">
        <f aca="false">IF(Calculations!A261,Schedule!M261&amp;CHAR(9)&amp;Schedule!N261&amp;CHAR(9)&amp;Schedule!O261&amp;CHAR(9)&amp;Schedule!P261&amp;CHAR(9)&amp;Schedule!Q261&amp;CHAR(9)&amp;Schedule!R261&amp;CHAR(9)&amp;Schedule!S261&amp;CHAR(9)&amp;Schedule!T261&amp;CHAR(9)&amp;Schedule!U261&amp;CHAR(9)&amp;Schedule!V261&amp;CHAR(9)&amp;Schedule!W261&amp;CHAR(9)&amp;Schedule!X261&amp;CHAR(9)&amp;Schedule!Y261,"")</f>
        <v/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2026-07-25T17:35:17Z</dcterms:modified>
  <cp:revision>23</cp:revision>
  <dc:subject/>
  <dc:title/>
</cp:coreProperties>
</file>